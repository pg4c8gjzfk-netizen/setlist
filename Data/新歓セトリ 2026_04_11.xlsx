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26fafff2f2ce9c9/ドキュメント/【26春】Advenced_Programing_Java/setlist/Data/"/>
    </mc:Choice>
  </mc:AlternateContent>
  <xr:revisionPtr revIDLastSave="1" documentId="8_{18A85384-72C2-49B4-82D3-E1BFA46471E1}" xr6:coauthVersionLast="47" xr6:coauthVersionMax="47" xr10:uidLastSave="{8B69EB37-F61D-4D5B-9B3F-F3D4964F47CB}"/>
  <bookViews>
    <workbookView xWindow="4800" yWindow="3830" windowWidth="14400" windowHeight="8170" activeTab="2" xr2:uid="{00000000-000D-0000-FFFF-FFFF00000000}"/>
  </bookViews>
  <sheets>
    <sheet name="0427M" sheetId="1" r:id="rId1"/>
    <sheet name="0513W" sheetId="2" r:id="rId2"/>
    <sheet name="0514T (2)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4" l="1"/>
  <c r="H9" i="4"/>
  <c r="I9" i="4"/>
  <c r="J9" i="4"/>
  <c r="K9" i="4"/>
  <c r="L9" i="4"/>
  <c r="M9" i="4"/>
  <c r="N9" i="4"/>
  <c r="D9" i="4"/>
  <c r="E9" i="4"/>
  <c r="F9" i="4"/>
  <c r="C9" i="4"/>
  <c r="B9" i="4"/>
  <c r="O8" i="4"/>
  <c r="O5" i="4"/>
  <c r="O4" i="4"/>
  <c r="O6" i="4"/>
  <c r="O2" i="4"/>
  <c r="O3" i="4"/>
  <c r="O7" i="4"/>
  <c r="N2" i="2"/>
  <c r="B10" i="2"/>
  <c r="N3" i="2"/>
  <c r="N4" i="2"/>
  <c r="N5" i="2"/>
  <c r="N6" i="2"/>
  <c r="N7" i="2"/>
  <c r="N8" i="2"/>
  <c r="N9" i="2"/>
  <c r="C10" i="2"/>
  <c r="M10" i="2"/>
  <c r="L10" i="2"/>
  <c r="K10" i="2"/>
  <c r="J10" i="2"/>
  <c r="I10" i="2"/>
  <c r="H10" i="2"/>
  <c r="G10" i="2"/>
  <c r="F10" i="2"/>
  <c r="E10" i="2"/>
  <c r="D10" i="2"/>
  <c r="B10" i="1"/>
  <c r="M10" i="1"/>
  <c r="L10" i="1"/>
  <c r="K10" i="1"/>
  <c r="J10" i="1"/>
  <c r="I10" i="1"/>
  <c r="H10" i="1"/>
  <c r="G10" i="1"/>
  <c r="F10" i="1"/>
  <c r="E10" i="1"/>
  <c r="D10" i="1"/>
  <c r="C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<sst xmlns="http://schemas.openxmlformats.org/spreadsheetml/2006/main" count="191" uniqueCount="57">
  <si>
    <t>title</t>
  </si>
  <si>
    <t>時間</t>
  </si>
  <si>
    <t>けいすけ</t>
  </si>
  <si>
    <t>だいご</t>
  </si>
  <si>
    <t>ひかる</t>
  </si>
  <si>
    <t>さやか</t>
  </si>
  <si>
    <t>きゃな</t>
  </si>
  <si>
    <t>まゆ</t>
  </si>
  <si>
    <t>あつや</t>
  </si>
  <si>
    <t>しまりん</t>
  </si>
  <si>
    <t>ゆーと</t>
  </si>
  <si>
    <t>とも</t>
  </si>
  <si>
    <t>ゆづき</t>
  </si>
  <si>
    <t>人数</t>
  </si>
  <si>
    <t>勘が冴えて悔しいわ</t>
  </si>
  <si>
    <t>◯</t>
  </si>
  <si>
    <t>Be Positive</t>
  </si>
  <si>
    <t>ブーケ・ダムール</t>
  </si>
  <si>
    <t>きままに</t>
  </si>
  <si>
    <t>永遠のライバル</t>
  </si>
  <si>
    <t>まゆきゃな</t>
  </si>
  <si>
    <t>Time...</t>
  </si>
  <si>
    <t>合計</t>
  </si>
  <si>
    <t>時間</t>
    <rPh sb="0" eb="2">
      <t>ジカン</t>
    </rPh>
    <phoneticPr fontId="2"/>
  </si>
  <si>
    <t>◯</t>
    <phoneticPr fontId="2"/>
  </si>
  <si>
    <t>合計</t>
    <rPh sb="0" eb="2">
      <t>ゴウケイ</t>
    </rPh>
    <phoneticPr fontId="2"/>
  </si>
  <si>
    <t>ブーケダムール</t>
  </si>
  <si>
    <t>title</t>
    <phoneticPr fontId="7"/>
  </si>
  <si>
    <t>時間</t>
    <rPh sb="0" eb="2">
      <t>ジカン</t>
    </rPh>
    <phoneticPr fontId="7"/>
  </si>
  <si>
    <t>けいすけ</t>
    <phoneticPr fontId="7"/>
  </si>
  <si>
    <t>だいご</t>
    <phoneticPr fontId="7"/>
  </si>
  <si>
    <t>ひかる</t>
    <phoneticPr fontId="7"/>
  </si>
  <si>
    <t>さやか</t>
    <phoneticPr fontId="7"/>
  </si>
  <si>
    <t>なぎ</t>
    <phoneticPr fontId="7"/>
  </si>
  <si>
    <t>まゆ</t>
    <phoneticPr fontId="7"/>
  </si>
  <si>
    <t>あつや</t>
    <phoneticPr fontId="7"/>
  </si>
  <si>
    <t>しまりん</t>
    <phoneticPr fontId="7"/>
  </si>
  <si>
    <t>ゆうと</t>
    <phoneticPr fontId="7"/>
  </si>
  <si>
    <t>とも</t>
    <phoneticPr fontId="7"/>
  </si>
  <si>
    <t>ゆづき</t>
    <phoneticPr fontId="7"/>
  </si>
  <si>
    <r>
      <rPr>
        <sz val="11"/>
        <color rgb="FF000000"/>
        <rFont val="ＭＳ ゴシック"/>
        <family val="3"/>
        <charset val="128"/>
      </rPr>
      <t>人</t>
    </r>
    <r>
      <rPr>
        <sz val="11"/>
        <color rgb="FF000000"/>
        <rFont val="Aptos Narrow"/>
        <family val="2"/>
      </rPr>
      <t>/</t>
    </r>
    <r>
      <rPr>
        <sz val="11"/>
        <color rgb="FF000000"/>
        <rFont val="游ゴシック"/>
        <family val="3"/>
        <charset val="128"/>
      </rPr>
      <t>作品</t>
    </r>
    <rPh sb="0" eb="1">
      <t>ニン</t>
    </rPh>
    <rPh sb="2" eb="4">
      <t>サクヒン</t>
    </rPh>
    <phoneticPr fontId="7"/>
  </si>
  <si>
    <t>singularity</t>
    <phoneticPr fontId="7"/>
  </si>
  <si>
    <t>music</t>
    <phoneticPr fontId="7"/>
  </si>
  <si>
    <t>ブーケダムール</t>
    <phoneticPr fontId="7"/>
  </si>
  <si>
    <t>◯</t>
    <phoneticPr fontId="7"/>
  </si>
  <si>
    <t>きままに</t>
    <phoneticPr fontId="7"/>
  </si>
  <si>
    <t>HELP!!</t>
    <phoneticPr fontId="7"/>
  </si>
  <si>
    <t>rose</t>
    <phoneticPr fontId="7"/>
  </si>
  <si>
    <t>合計</t>
    <rPh sb="0" eb="2">
      <t>ゴウケイ</t>
    </rPh>
    <phoneticPr fontId="7"/>
  </si>
  <si>
    <t>ガリラヤ</t>
  </si>
  <si>
    <t>quiet room</t>
  </si>
  <si>
    <t>time…</t>
  </si>
  <si>
    <t>まひろ</t>
    <phoneticPr fontId="2"/>
  </si>
  <si>
    <t>Indomitable Spirits</t>
    <phoneticPr fontId="2"/>
  </si>
  <si>
    <t>まっちゃ6</t>
    <phoneticPr fontId="7"/>
  </si>
  <si>
    <t>time…</t>
    <phoneticPr fontId="7"/>
  </si>
  <si>
    <t>HELP!!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</si>
</sst>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:&quot;s"/>
    <numFmt numFmtId="177" formatCode="m&quot;:&quot;ss"/>
  </numFmts>
  <fonts count="1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6"/>
      <name val="Arial"/>
      <family val="3"/>
      <charset val="128"/>
      <scheme val="minor"/>
    </font>
    <font>
      <sz val="9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Aptos Narrow"/>
      <family val="2"/>
    </font>
    <font>
      <sz val="6"/>
      <name val="Aptos Narrow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Aptos Narrow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Segoe UI Symbol"/>
      <family val="2"/>
    </font>
    <font>
      <sz val="10"/>
      <color rgb="FF000000"/>
      <name val="Arial"/>
      <family val="3"/>
      <charset val="128"/>
      <scheme val="minor"/>
    </font>
    <font>
      <sz val="10"/>
      <color rgb="FF000000"/>
      <name val="Segoe UI Symbol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4" tint="0.79998168889431442"/>
        <bgColor rgb="FF000000"/>
      </patternFill>
    </fill>
  </fills>
  <borders count="116">
    <border>
      <left/>
      <right/>
      <top/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ck">
        <color rgb="FF000000"/>
      </bottom>
      <diagonal/>
    </border>
    <border>
      <left style="thin">
        <color rgb="FF000000"/>
      </left>
      <right/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/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ck">
        <color auto="1"/>
      </right>
      <top/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/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ck">
        <color auto="1"/>
      </bottom>
      <diagonal/>
    </border>
    <border>
      <left style="thick">
        <color rgb="FF000000"/>
      </left>
      <right style="medium">
        <color rgb="FF000000"/>
      </right>
      <top style="thin">
        <color rgb="FF000000"/>
      </top>
      <bottom style="medium">
        <color rgb="FFFF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FF0000"/>
      </bottom>
      <diagonal/>
    </border>
    <border>
      <left/>
      <right style="thin">
        <color rgb="FF000000"/>
      </right>
      <top style="thin">
        <color rgb="FF00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FF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FF0000"/>
      </bottom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FF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FF0000"/>
      </bottom>
      <diagonal/>
    </border>
    <border>
      <left/>
      <right style="medium">
        <color rgb="FF000000"/>
      </right>
      <top/>
      <bottom style="medium">
        <color rgb="FFFF0000"/>
      </bottom>
      <diagonal/>
    </border>
    <border>
      <left/>
      <right style="thin">
        <color rgb="FF000000"/>
      </right>
      <top/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FF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FF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FF0000"/>
      </bottom>
      <diagonal/>
    </border>
    <border>
      <left/>
      <right style="thin">
        <color rgb="FF000000"/>
      </right>
      <top style="thick">
        <color rgb="FF00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medium">
        <color rgb="FFFF0000"/>
      </bottom>
      <diagonal/>
    </border>
    <border>
      <left style="thin">
        <color rgb="FF000000"/>
      </left>
      <right style="medium">
        <color rgb="FF000000"/>
      </right>
      <top style="thick">
        <color rgb="FF00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medium">
        <color rgb="FFFFFF00"/>
      </bottom>
      <diagonal/>
    </border>
    <border>
      <left style="thin">
        <color rgb="FF000000"/>
      </left>
      <right style="thin">
        <color rgb="FF000000"/>
      </right>
      <top style="medium">
        <color rgb="FFFF0000"/>
      </top>
      <bottom style="medium">
        <color rgb="FFFFFF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FFFF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rgb="FFFFFF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rgb="FFFFFF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FFFF00"/>
      </bottom>
      <diagonal/>
    </border>
    <border>
      <left style="thick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/>
      <bottom style="medium">
        <color rgb="FFFF0000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rgb="FFFF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rgb="FFFF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rgb="FFFF0000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rgb="FFFF0000"/>
      </bottom>
      <diagonal/>
    </border>
    <border>
      <left style="thick">
        <color auto="1"/>
      </left>
      <right style="medium">
        <color auto="1"/>
      </right>
      <top style="medium">
        <color rgb="FFFF0000"/>
      </top>
      <bottom style="medium">
        <color rgb="FFFF0000"/>
      </bottom>
      <diagonal/>
    </border>
    <border>
      <left style="medium">
        <color auto="1"/>
      </left>
      <right style="medium">
        <color auto="1"/>
      </right>
      <top style="medium">
        <color rgb="FFFF0000"/>
      </top>
      <bottom style="medium">
        <color rgb="FFFF0000"/>
      </bottom>
      <diagonal/>
    </border>
    <border>
      <left style="medium">
        <color auto="1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medium">
        <color auto="1"/>
      </right>
      <top style="medium">
        <color rgb="FFFF0000"/>
      </top>
      <bottom style="medium">
        <color rgb="FFFF0000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medium">
        <color rgb="FFFF0000"/>
      </bottom>
      <diagonal/>
    </border>
    <border>
      <left/>
      <right style="medium">
        <color rgb="FF000000"/>
      </right>
      <top style="thin">
        <color auto="1"/>
      </top>
      <bottom style="medium">
        <color rgb="FFFF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medium">
        <color auto="1"/>
      </right>
      <top style="medium">
        <color rgb="FFFF0000"/>
      </top>
      <bottom style="medium">
        <color rgb="FFFFFF00"/>
      </bottom>
      <diagonal/>
    </border>
    <border>
      <left style="thin">
        <color auto="1"/>
      </left>
      <right style="thin">
        <color auto="1"/>
      </right>
      <top style="medium">
        <color rgb="FFFF0000"/>
      </top>
      <bottom style="medium">
        <color rgb="FFFFFF00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medium">
        <color theme="1"/>
      </left>
      <right style="medium">
        <color auto="1"/>
      </right>
      <top/>
      <bottom style="medium">
        <color theme="1"/>
      </bottom>
      <diagonal/>
    </border>
    <border>
      <left/>
      <right style="medium">
        <color rgb="FF000000"/>
      </right>
      <top/>
      <bottom style="medium">
        <color theme="1"/>
      </bottom>
      <diagonal/>
    </border>
    <border>
      <left style="medium">
        <color auto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medium">
        <color theme="1"/>
      </right>
      <top/>
      <bottom style="medium">
        <color theme="1"/>
      </bottom>
      <diagonal/>
    </border>
    <border>
      <left style="thick">
        <color auto="1"/>
      </left>
      <right style="medium">
        <color auto="1"/>
      </right>
      <top style="medium">
        <color rgb="FFFF0000"/>
      </top>
      <bottom style="thin">
        <color theme="1"/>
      </bottom>
      <diagonal/>
    </border>
    <border>
      <left style="medium">
        <color auto="1"/>
      </left>
      <right style="medium">
        <color auto="1"/>
      </right>
      <top style="medium">
        <color rgb="FFFF0000"/>
      </top>
      <bottom style="thin">
        <color theme="1"/>
      </bottom>
      <diagonal/>
    </border>
    <border>
      <left style="medium">
        <color auto="1"/>
      </left>
      <right style="thin">
        <color auto="1"/>
      </right>
      <top style="medium">
        <color rgb="FFFF0000"/>
      </top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theme="1"/>
      </bottom>
      <diagonal/>
    </border>
    <border>
      <left style="thin">
        <color auto="1"/>
      </left>
      <right style="thin">
        <color auto="1"/>
      </right>
      <top style="medium">
        <color rgb="FFFF0000"/>
      </top>
      <bottom style="thin">
        <color theme="1"/>
      </bottom>
      <diagonal/>
    </border>
    <border>
      <left style="thin">
        <color auto="1"/>
      </left>
      <right style="medium">
        <color auto="1"/>
      </right>
      <top style="medium">
        <color rgb="FFFF0000"/>
      </top>
      <bottom style="thin">
        <color theme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rgb="FFFF0000"/>
      </bottom>
      <diagonal/>
    </border>
    <border>
      <left/>
      <right style="thin">
        <color auto="1"/>
      </right>
      <top style="thin">
        <color auto="1"/>
      </top>
      <bottom style="medium">
        <color rgb="FFFF0000"/>
      </bottom>
      <diagonal/>
    </border>
  </borders>
  <cellStyleXfs count="1">
    <xf numFmtId="0" fontId="0" fillId="0" borderId="0"/>
  </cellStyleXfs>
  <cellXfs count="210">
    <xf numFmtId="0" fontId="0" fillId="0" borderId="0" xfId="0"/>
    <xf numFmtId="176" fontId="1" fillId="0" borderId="0" xfId="0" applyNumberFormat="1" applyFont="1"/>
    <xf numFmtId="0" fontId="1" fillId="0" borderId="0" xfId="0" applyFont="1" applyAlignment="1">
      <alignment horizontal="center"/>
    </xf>
    <xf numFmtId="0" fontId="0" fillId="3" borderId="29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6" fillId="0" borderId="21" xfId="0" applyFont="1" applyBorder="1" applyAlignment="1">
      <alignment vertical="center"/>
    </xf>
    <xf numFmtId="45" fontId="8" fillId="0" borderId="22" xfId="0" applyNumberFormat="1" applyFont="1" applyBorder="1" applyAlignment="1">
      <alignment horizontal="right" vertical="center"/>
    </xf>
    <xf numFmtId="0" fontId="9" fillId="0" borderId="26" xfId="0" applyFont="1" applyBorder="1" applyAlignment="1">
      <alignment horizontal="right" vertical="center"/>
    </xf>
    <xf numFmtId="0" fontId="6" fillId="0" borderId="31" xfId="0" applyFont="1" applyBorder="1" applyAlignment="1">
      <alignment vertical="center"/>
    </xf>
    <xf numFmtId="0" fontId="6" fillId="0" borderId="32" xfId="0" applyFont="1" applyBorder="1" applyAlignment="1">
      <alignment vertical="center"/>
    </xf>
    <xf numFmtId="0" fontId="6" fillId="0" borderId="43" xfId="0" applyFont="1" applyBorder="1" applyAlignment="1">
      <alignment vertical="center"/>
    </xf>
    <xf numFmtId="177" fontId="6" fillId="0" borderId="33" xfId="0" applyNumberFormat="1" applyFont="1" applyBorder="1" applyAlignment="1">
      <alignment vertical="center"/>
    </xf>
    <xf numFmtId="0" fontId="8" fillId="5" borderId="23" xfId="0" applyFont="1" applyFill="1" applyBorder="1" applyAlignment="1">
      <alignment horizontal="center" vertical="center"/>
    </xf>
    <xf numFmtId="0" fontId="8" fillId="5" borderId="24" xfId="0" applyFont="1" applyFill="1" applyBorder="1" applyAlignment="1">
      <alignment horizontal="center" vertical="center"/>
    </xf>
    <xf numFmtId="0" fontId="6" fillId="5" borderId="34" xfId="0" applyFont="1" applyFill="1" applyBorder="1" applyAlignment="1">
      <alignment horizontal="center" vertical="center"/>
    </xf>
    <xf numFmtId="0" fontId="6" fillId="5" borderId="35" xfId="0" applyFont="1" applyFill="1" applyBorder="1" applyAlignment="1">
      <alignment horizontal="center" vertical="center"/>
    </xf>
    <xf numFmtId="0" fontId="9" fillId="5" borderId="35" xfId="0" applyFont="1" applyFill="1" applyBorder="1" applyAlignment="1">
      <alignment horizontal="center" vertical="center"/>
    </xf>
    <xf numFmtId="0" fontId="8" fillId="6" borderId="24" xfId="0" applyFont="1" applyFill="1" applyBorder="1" applyAlignment="1">
      <alignment horizontal="center" vertical="center"/>
    </xf>
    <xf numFmtId="0" fontId="9" fillId="6" borderId="35" xfId="0" applyFont="1" applyFill="1" applyBorder="1" applyAlignment="1">
      <alignment horizontal="center" vertical="center"/>
    </xf>
    <xf numFmtId="0" fontId="8" fillId="7" borderId="24" xfId="0" applyFont="1" applyFill="1" applyBorder="1" applyAlignment="1">
      <alignment horizontal="center" vertical="center"/>
    </xf>
    <xf numFmtId="0" fontId="6" fillId="7" borderId="24" xfId="0" applyFont="1" applyFill="1" applyBorder="1" applyAlignment="1">
      <alignment horizontal="center" vertical="center"/>
    </xf>
    <xf numFmtId="0" fontId="8" fillId="7" borderId="25" xfId="0" applyFont="1" applyFill="1" applyBorder="1" applyAlignment="1">
      <alignment horizontal="center" vertical="center"/>
    </xf>
    <xf numFmtId="0" fontId="6" fillId="7" borderId="35" xfId="0" applyFont="1" applyFill="1" applyBorder="1" applyAlignment="1">
      <alignment horizontal="center" vertical="center"/>
    </xf>
    <xf numFmtId="0" fontId="9" fillId="7" borderId="35" xfId="0" applyFont="1" applyFill="1" applyBorder="1" applyAlignment="1">
      <alignment horizontal="center" vertical="center"/>
    </xf>
    <xf numFmtId="0" fontId="9" fillId="7" borderId="36" xfId="0" applyFont="1" applyFill="1" applyBorder="1" applyAlignment="1">
      <alignment horizontal="center" vertical="center"/>
    </xf>
    <xf numFmtId="0" fontId="0" fillId="0" borderId="21" xfId="0" applyBorder="1"/>
    <xf numFmtId="0" fontId="5" fillId="0" borderId="39" xfId="0" applyFont="1" applyBorder="1" applyAlignment="1">
      <alignment horizontal="right"/>
    </xf>
    <xf numFmtId="0" fontId="0" fillId="0" borderId="27" xfId="0" applyBorder="1"/>
    <xf numFmtId="0" fontId="8" fillId="5" borderId="46" xfId="0" applyFont="1" applyFill="1" applyBorder="1" applyAlignment="1">
      <alignment horizontal="center" vertical="center"/>
    </xf>
    <xf numFmtId="0" fontId="0" fillId="0" borderId="37" xfId="0" applyBorder="1"/>
    <xf numFmtId="0" fontId="0" fillId="0" borderId="31" xfId="0" applyBorder="1"/>
    <xf numFmtId="0" fontId="0" fillId="0" borderId="38" xfId="0" applyBorder="1"/>
    <xf numFmtId="0" fontId="0" fillId="0" borderId="43" xfId="0" applyBorder="1"/>
    <xf numFmtId="0" fontId="0" fillId="2" borderId="47" xfId="0" applyFill="1" applyBorder="1"/>
    <xf numFmtId="0" fontId="0" fillId="2" borderId="41" xfId="0" applyFill="1" applyBorder="1"/>
    <xf numFmtId="0" fontId="0" fillId="3" borderId="41" xfId="0" applyFill="1" applyBorder="1"/>
    <xf numFmtId="0" fontId="0" fillId="4" borderId="41" xfId="0" applyFill="1" applyBorder="1"/>
    <xf numFmtId="0" fontId="0" fillId="4" borderId="42" xfId="0" applyFill="1" applyBorder="1"/>
    <xf numFmtId="0" fontId="0" fillId="2" borderId="35" xfId="0" applyFill="1" applyBorder="1" applyAlignment="1">
      <alignment horizontal="center" vertical="center"/>
    </xf>
    <xf numFmtId="0" fontId="13" fillId="2" borderId="35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0" fillId="4" borderId="35" xfId="0" applyFill="1" applyBorder="1" applyAlignment="1">
      <alignment horizontal="center" vertical="center"/>
    </xf>
    <xf numFmtId="0" fontId="13" fillId="4" borderId="35" xfId="0" applyFont="1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13" fillId="3" borderId="29" xfId="0" applyFont="1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13" fillId="4" borderId="30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0" borderId="2" xfId="0" applyFont="1" applyBorder="1" applyAlignment="1">
      <alignment vertical="center"/>
    </xf>
    <xf numFmtId="177" fontId="1" fillId="0" borderId="3" xfId="0" applyNumberFormat="1" applyFont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177" fontId="1" fillId="0" borderId="9" xfId="0" applyNumberFormat="1" applyFont="1" applyBorder="1" applyAlignment="1">
      <alignment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horizontal="right" vertical="center"/>
    </xf>
    <xf numFmtId="176" fontId="3" fillId="0" borderId="16" xfId="0" applyNumberFormat="1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2" borderId="17" xfId="0" applyFont="1" applyFill="1" applyBorder="1" applyAlignment="1">
      <alignment horizontal="right" vertical="center"/>
    </xf>
    <xf numFmtId="0" fontId="1" fillId="2" borderId="18" xfId="0" applyFont="1" applyFill="1" applyBorder="1" applyAlignment="1">
      <alignment horizontal="right" vertical="center"/>
    </xf>
    <xf numFmtId="0" fontId="1" fillId="3" borderId="18" xfId="0" applyFont="1" applyFill="1" applyBorder="1" applyAlignment="1">
      <alignment horizontal="right" vertical="center"/>
    </xf>
    <xf numFmtId="0" fontId="1" fillId="4" borderId="18" xfId="0" applyFont="1" applyFill="1" applyBorder="1" applyAlignment="1">
      <alignment horizontal="right" vertical="center"/>
    </xf>
    <xf numFmtId="0" fontId="1" fillId="4" borderId="19" xfId="0" applyFont="1" applyFill="1" applyBorder="1" applyAlignment="1">
      <alignment horizontal="right" vertical="center"/>
    </xf>
    <xf numFmtId="177" fontId="0" fillId="0" borderId="33" xfId="0" applyNumberFormat="1" applyBorder="1" applyAlignment="1">
      <alignment vertical="center"/>
    </xf>
    <xf numFmtId="177" fontId="5" fillId="0" borderId="22" xfId="0" applyNumberFormat="1" applyFont="1" applyBorder="1" applyAlignment="1">
      <alignment horizontal="right" vertical="center"/>
    </xf>
    <xf numFmtId="177" fontId="0" fillId="0" borderId="28" xfId="0" applyNumberFormat="1" applyBorder="1" applyAlignment="1">
      <alignment vertical="center"/>
    </xf>
    <xf numFmtId="177" fontId="0" fillId="0" borderId="40" xfId="0" applyNumberFormat="1" applyBorder="1" applyAlignment="1">
      <alignment vertical="center"/>
    </xf>
    <xf numFmtId="177" fontId="0" fillId="0" borderId="0" xfId="0" applyNumberFormat="1" applyAlignment="1">
      <alignment vertical="center"/>
    </xf>
    <xf numFmtId="0" fontId="1" fillId="0" borderId="48" xfId="0" applyFont="1" applyBorder="1" applyAlignment="1">
      <alignment vertical="center"/>
    </xf>
    <xf numFmtId="177" fontId="1" fillId="0" borderId="49" xfId="0" applyNumberFormat="1" applyFont="1" applyBorder="1" applyAlignment="1">
      <alignment vertical="center"/>
    </xf>
    <xf numFmtId="0" fontId="1" fillId="2" borderId="50" xfId="0" applyFont="1" applyFill="1" applyBorder="1" applyAlignment="1">
      <alignment horizontal="center" vertical="center"/>
    </xf>
    <xf numFmtId="0" fontId="1" fillId="2" borderId="51" xfId="0" applyFont="1" applyFill="1" applyBorder="1" applyAlignment="1">
      <alignment horizontal="center" vertical="center"/>
    </xf>
    <xf numFmtId="0" fontId="1" fillId="3" borderId="51" xfId="0" applyFont="1" applyFill="1" applyBorder="1" applyAlignment="1">
      <alignment horizontal="center" vertical="center"/>
    </xf>
    <xf numFmtId="0" fontId="1" fillId="4" borderId="51" xfId="0" applyFont="1" applyFill="1" applyBorder="1" applyAlignment="1">
      <alignment horizontal="center" vertical="center"/>
    </xf>
    <xf numFmtId="0" fontId="1" fillId="4" borderId="52" xfId="0" applyFont="1" applyFill="1" applyBorder="1" applyAlignment="1">
      <alignment horizontal="center" vertical="center"/>
    </xf>
    <xf numFmtId="0" fontId="1" fillId="0" borderId="53" xfId="0" applyFont="1" applyBorder="1" applyAlignment="1">
      <alignment vertical="center"/>
    </xf>
    <xf numFmtId="177" fontId="1" fillId="0" borderId="54" xfId="0" applyNumberFormat="1" applyFont="1" applyBorder="1" applyAlignment="1">
      <alignment vertical="center"/>
    </xf>
    <xf numFmtId="0" fontId="1" fillId="2" borderId="55" xfId="0" applyFont="1" applyFill="1" applyBorder="1" applyAlignment="1">
      <alignment horizontal="center" vertical="center"/>
    </xf>
    <xf numFmtId="0" fontId="1" fillId="2" borderId="56" xfId="0" applyFont="1" applyFill="1" applyBorder="1" applyAlignment="1">
      <alignment horizontal="center" vertical="center"/>
    </xf>
    <xf numFmtId="0" fontId="1" fillId="3" borderId="56" xfId="0" applyFont="1" applyFill="1" applyBorder="1" applyAlignment="1">
      <alignment horizontal="center" vertical="center"/>
    </xf>
    <xf numFmtId="0" fontId="1" fillId="4" borderId="56" xfId="0" applyFont="1" applyFill="1" applyBorder="1" applyAlignment="1">
      <alignment horizontal="center" vertical="center"/>
    </xf>
    <xf numFmtId="0" fontId="1" fillId="4" borderId="57" xfId="0" applyFont="1" applyFill="1" applyBorder="1" applyAlignment="1">
      <alignment horizontal="center" vertical="center"/>
    </xf>
    <xf numFmtId="0" fontId="4" fillId="0" borderId="48" xfId="0" applyFont="1" applyBorder="1" applyAlignment="1">
      <alignment vertical="center"/>
    </xf>
    <xf numFmtId="0" fontId="1" fillId="0" borderId="59" xfId="0" applyFont="1" applyBorder="1" applyAlignment="1">
      <alignment vertical="center"/>
    </xf>
    <xf numFmtId="177" fontId="1" fillId="0" borderId="60" xfId="0" applyNumberFormat="1" applyFont="1" applyBorder="1" applyAlignment="1">
      <alignment vertical="center"/>
    </xf>
    <xf numFmtId="0" fontId="1" fillId="2" borderId="61" xfId="0" applyFont="1" applyFill="1" applyBorder="1" applyAlignment="1">
      <alignment horizontal="center" vertical="center"/>
    </xf>
    <xf numFmtId="0" fontId="1" fillId="2" borderId="62" xfId="0" applyFont="1" applyFill="1" applyBorder="1" applyAlignment="1">
      <alignment horizontal="center" vertical="center"/>
    </xf>
    <xf numFmtId="0" fontId="1" fillId="3" borderId="62" xfId="0" applyFont="1" applyFill="1" applyBorder="1" applyAlignment="1">
      <alignment horizontal="center" vertical="center"/>
    </xf>
    <xf numFmtId="0" fontId="1" fillId="4" borderId="62" xfId="0" applyFont="1" applyFill="1" applyBorder="1" applyAlignment="1">
      <alignment horizontal="center" vertical="center"/>
    </xf>
    <xf numFmtId="0" fontId="1" fillId="4" borderId="63" xfId="0" applyFont="1" applyFill="1" applyBorder="1" applyAlignment="1">
      <alignment horizontal="center" vertical="center"/>
    </xf>
    <xf numFmtId="0" fontId="1" fillId="0" borderId="58" xfId="0" applyFont="1" applyBorder="1" applyAlignment="1">
      <alignment vertical="center"/>
    </xf>
    <xf numFmtId="176" fontId="1" fillId="0" borderId="64" xfId="0" applyNumberFormat="1" applyFont="1" applyBorder="1" applyAlignment="1">
      <alignment horizontal="right" vertical="center"/>
    </xf>
    <xf numFmtId="0" fontId="1" fillId="2" borderId="65" xfId="0" applyFont="1" applyFill="1" applyBorder="1" applyAlignment="1">
      <alignment horizontal="center" vertical="center"/>
    </xf>
    <xf numFmtId="0" fontId="1" fillId="2" borderId="66" xfId="0" applyFont="1" applyFill="1" applyBorder="1" applyAlignment="1">
      <alignment horizontal="center" vertical="center"/>
    </xf>
    <xf numFmtId="0" fontId="1" fillId="3" borderId="66" xfId="0" applyFont="1" applyFill="1" applyBorder="1" applyAlignment="1">
      <alignment horizontal="center" vertical="center"/>
    </xf>
    <xf numFmtId="0" fontId="1" fillId="4" borderId="66" xfId="0" applyFont="1" applyFill="1" applyBorder="1" applyAlignment="1">
      <alignment horizontal="center" vertical="center"/>
    </xf>
    <xf numFmtId="0" fontId="1" fillId="4" borderId="67" xfId="0" applyFont="1" applyFill="1" applyBorder="1" applyAlignment="1">
      <alignment horizontal="center" vertical="center"/>
    </xf>
    <xf numFmtId="0" fontId="1" fillId="2" borderId="68" xfId="0" applyFont="1" applyFill="1" applyBorder="1" applyAlignment="1">
      <alignment horizontal="center" vertical="center"/>
    </xf>
    <xf numFmtId="0" fontId="1" fillId="4" borderId="69" xfId="0" applyFont="1" applyFill="1" applyBorder="1" applyAlignment="1">
      <alignment horizontal="center" vertical="center"/>
    </xf>
    <xf numFmtId="0" fontId="1" fillId="3" borderId="70" xfId="0" applyFont="1" applyFill="1" applyBorder="1" applyAlignment="1">
      <alignment horizontal="center" vertical="center"/>
    </xf>
    <xf numFmtId="0" fontId="1" fillId="2" borderId="70" xfId="0" applyFont="1" applyFill="1" applyBorder="1" applyAlignment="1">
      <alignment horizontal="center" vertical="center"/>
    </xf>
    <xf numFmtId="0" fontId="12" fillId="5" borderId="35" xfId="0" applyFont="1" applyFill="1" applyBorder="1" applyAlignment="1">
      <alignment horizontal="center" vertical="center"/>
    </xf>
    <xf numFmtId="0" fontId="6" fillId="7" borderId="72" xfId="0" applyFont="1" applyFill="1" applyBorder="1" applyAlignment="1">
      <alignment horizontal="center" vertical="center"/>
    </xf>
    <xf numFmtId="0" fontId="6" fillId="7" borderId="77" xfId="0" applyFont="1" applyFill="1" applyBorder="1" applyAlignment="1">
      <alignment horizontal="center" vertical="center"/>
    </xf>
    <xf numFmtId="0" fontId="0" fillId="0" borderId="32" xfId="0" applyBorder="1"/>
    <xf numFmtId="0" fontId="0" fillId="2" borderId="45" xfId="0" applyFill="1" applyBorder="1" applyAlignment="1">
      <alignment horizontal="center" vertical="center"/>
    </xf>
    <xf numFmtId="0" fontId="0" fillId="4" borderId="36" xfId="0" applyFill="1" applyBorder="1" applyAlignment="1">
      <alignment horizontal="center" vertical="center"/>
    </xf>
    <xf numFmtId="0" fontId="0" fillId="4" borderId="72" xfId="0" applyFill="1" applyBorder="1" applyAlignment="1">
      <alignment horizontal="center" vertical="center"/>
    </xf>
    <xf numFmtId="0" fontId="0" fillId="2" borderId="73" xfId="0" applyFill="1" applyBorder="1" applyAlignment="1">
      <alignment horizontal="center" vertical="center"/>
    </xf>
    <xf numFmtId="0" fontId="0" fillId="3" borderId="73" xfId="0" applyFill="1" applyBorder="1" applyAlignment="1">
      <alignment horizontal="center" vertical="center"/>
    </xf>
    <xf numFmtId="0" fontId="0" fillId="4" borderId="73" xfId="0" applyFill="1" applyBorder="1" applyAlignment="1">
      <alignment horizontal="center" vertical="center"/>
    </xf>
    <xf numFmtId="0" fontId="0" fillId="0" borderId="74" xfId="0" applyBorder="1"/>
    <xf numFmtId="177" fontId="0" fillId="0" borderId="79" xfId="0" applyNumberFormat="1" applyBorder="1" applyAlignment="1">
      <alignment vertical="center"/>
    </xf>
    <xf numFmtId="0" fontId="13" fillId="2" borderId="80" xfId="0" applyFont="1" applyFill="1" applyBorder="1" applyAlignment="1">
      <alignment horizontal="center" vertical="center"/>
    </xf>
    <xf numFmtId="0" fontId="13" fillId="2" borderId="75" xfId="0" applyFont="1" applyFill="1" applyBorder="1" applyAlignment="1">
      <alignment horizontal="center" vertical="center"/>
    </xf>
    <xf numFmtId="0" fontId="13" fillId="3" borderId="75" xfId="0" applyFont="1" applyFill="1" applyBorder="1" applyAlignment="1">
      <alignment horizontal="center" vertical="center"/>
    </xf>
    <xf numFmtId="0" fontId="13" fillId="4" borderId="75" xfId="0" applyFont="1" applyFill="1" applyBorder="1" applyAlignment="1">
      <alignment horizontal="center" vertical="center"/>
    </xf>
    <xf numFmtId="0" fontId="13" fillId="4" borderId="76" xfId="0" applyFont="1" applyFill="1" applyBorder="1" applyAlignment="1">
      <alignment horizontal="center" vertical="center"/>
    </xf>
    <xf numFmtId="0" fontId="13" fillId="4" borderId="77" xfId="0" applyFont="1" applyFill="1" applyBorder="1" applyAlignment="1">
      <alignment horizontal="center" vertical="center"/>
    </xf>
    <xf numFmtId="0" fontId="13" fillId="3" borderId="77" xfId="0" applyFont="1" applyFill="1" applyBorder="1" applyAlignment="1">
      <alignment horizontal="center" vertical="center"/>
    </xf>
    <xf numFmtId="0" fontId="0" fillId="3" borderId="78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6" fillId="0" borderId="83" xfId="0" applyFont="1" applyBorder="1" applyAlignment="1">
      <alignment vertical="center"/>
    </xf>
    <xf numFmtId="177" fontId="6" fillId="0" borderId="84" xfId="0" applyNumberFormat="1" applyFont="1" applyBorder="1" applyAlignment="1">
      <alignment vertical="center"/>
    </xf>
    <xf numFmtId="0" fontId="9" fillId="5" borderId="85" xfId="0" applyFont="1" applyFill="1" applyBorder="1" applyAlignment="1">
      <alignment horizontal="center" vertical="center"/>
    </xf>
    <xf numFmtId="0" fontId="9" fillId="5" borderId="77" xfId="0" applyFont="1" applyFill="1" applyBorder="1" applyAlignment="1">
      <alignment horizontal="center" vertical="center"/>
    </xf>
    <xf numFmtId="0" fontId="6" fillId="6" borderId="77" xfId="0" applyFont="1" applyFill="1" applyBorder="1" applyAlignment="1">
      <alignment horizontal="center" vertical="center"/>
    </xf>
    <xf numFmtId="0" fontId="9" fillId="7" borderId="77" xfId="0" applyFont="1" applyFill="1" applyBorder="1" applyAlignment="1">
      <alignment horizontal="center" vertical="center"/>
    </xf>
    <xf numFmtId="0" fontId="6" fillId="7" borderId="86" xfId="0" applyFont="1" applyFill="1" applyBorder="1" applyAlignment="1">
      <alignment horizontal="center" vertical="center"/>
    </xf>
    <xf numFmtId="0" fontId="6" fillId="0" borderId="87" xfId="0" applyFont="1" applyBorder="1" applyAlignment="1">
      <alignment vertical="center"/>
    </xf>
    <xf numFmtId="177" fontId="6" fillId="0" borderId="88" xfId="0" applyNumberFormat="1" applyFont="1" applyBorder="1" applyAlignment="1">
      <alignment vertical="center"/>
    </xf>
    <xf numFmtId="0" fontId="6" fillId="5" borderId="89" xfId="0" applyFont="1" applyFill="1" applyBorder="1" applyAlignment="1">
      <alignment horizontal="center" vertical="center"/>
    </xf>
    <xf numFmtId="0" fontId="6" fillId="5" borderId="90" xfId="0" applyFont="1" applyFill="1" applyBorder="1" applyAlignment="1">
      <alignment horizontal="center" vertical="center"/>
    </xf>
    <xf numFmtId="0" fontId="9" fillId="5" borderId="90" xfId="0" applyFont="1" applyFill="1" applyBorder="1" applyAlignment="1">
      <alignment horizontal="center" vertical="center"/>
    </xf>
    <xf numFmtId="0" fontId="9" fillId="6" borderId="90" xfId="0" applyFont="1" applyFill="1" applyBorder="1" applyAlignment="1">
      <alignment horizontal="center" vertical="center"/>
    </xf>
    <xf numFmtId="0" fontId="6" fillId="6" borderId="90" xfId="0" applyFont="1" applyFill="1" applyBorder="1" applyAlignment="1">
      <alignment horizontal="center" vertical="center"/>
    </xf>
    <xf numFmtId="0" fontId="6" fillId="7" borderId="90" xfId="0" applyFont="1" applyFill="1" applyBorder="1" applyAlignment="1">
      <alignment horizontal="center" vertical="center"/>
    </xf>
    <xf numFmtId="0" fontId="9" fillId="7" borderId="90" xfId="0" applyFont="1" applyFill="1" applyBorder="1" applyAlignment="1">
      <alignment horizontal="center" vertical="center"/>
    </xf>
    <xf numFmtId="0" fontId="6" fillId="7" borderId="91" xfId="0" applyFont="1" applyFill="1" applyBorder="1" applyAlignment="1">
      <alignment horizontal="center" vertical="center"/>
    </xf>
    <xf numFmtId="0" fontId="8" fillId="0" borderId="92" xfId="0" applyFont="1" applyBorder="1" applyAlignment="1">
      <alignment vertical="center"/>
    </xf>
    <xf numFmtId="177" fontId="1" fillId="0" borderId="93" xfId="0" applyNumberFormat="1" applyFont="1" applyBorder="1"/>
    <xf numFmtId="0" fontId="9" fillId="5" borderId="94" xfId="0" applyFont="1" applyFill="1" applyBorder="1" applyAlignment="1">
      <alignment horizontal="center" vertical="center"/>
    </xf>
    <xf numFmtId="0" fontId="9" fillId="5" borderId="78" xfId="0" applyFont="1" applyFill="1" applyBorder="1" applyAlignment="1">
      <alignment horizontal="center" vertical="center"/>
    </xf>
    <xf numFmtId="0" fontId="6" fillId="5" borderId="78" xfId="0" applyFont="1" applyFill="1" applyBorder="1" applyAlignment="1">
      <alignment horizontal="center" vertical="center"/>
    </xf>
    <xf numFmtId="0" fontId="9" fillId="7" borderId="78" xfId="0" applyFont="1" applyFill="1" applyBorder="1" applyAlignment="1">
      <alignment horizontal="center" vertical="center"/>
    </xf>
    <xf numFmtId="0" fontId="6" fillId="7" borderId="78" xfId="0" applyFont="1" applyFill="1" applyBorder="1" applyAlignment="1">
      <alignment horizontal="center" vertical="center"/>
    </xf>
    <xf numFmtId="0" fontId="6" fillId="7" borderId="81" xfId="0" applyFont="1" applyFill="1" applyBorder="1" applyAlignment="1">
      <alignment horizontal="center" vertical="center"/>
    </xf>
    <xf numFmtId="0" fontId="12" fillId="5" borderId="89" xfId="0" applyFont="1" applyFill="1" applyBorder="1" applyAlignment="1">
      <alignment horizontal="center" vertical="center"/>
    </xf>
    <xf numFmtId="0" fontId="9" fillId="7" borderId="91" xfId="0" applyFont="1" applyFill="1" applyBorder="1" applyAlignment="1">
      <alignment horizontal="center" vertical="center"/>
    </xf>
    <xf numFmtId="0" fontId="9" fillId="7" borderId="82" xfId="0" applyFont="1" applyFill="1" applyBorder="1" applyAlignment="1">
      <alignment horizontal="center" vertical="center"/>
    </xf>
    <xf numFmtId="0" fontId="6" fillId="7" borderId="95" xfId="0" applyFont="1" applyFill="1" applyBorder="1" applyAlignment="1">
      <alignment horizontal="center" vertical="center"/>
    </xf>
    <xf numFmtId="0" fontId="6" fillId="5" borderId="96" xfId="0" applyFont="1" applyFill="1" applyBorder="1" applyAlignment="1">
      <alignment horizontal="center" vertical="center"/>
    </xf>
    <xf numFmtId="0" fontId="9" fillId="6" borderId="82" xfId="0" applyFont="1" applyFill="1" applyBorder="1" applyAlignment="1">
      <alignment horizontal="center" vertical="center"/>
    </xf>
    <xf numFmtId="0" fontId="6" fillId="6" borderId="73" xfId="0" applyFont="1" applyFill="1" applyBorder="1" applyAlignment="1">
      <alignment horizontal="center" vertical="center"/>
    </xf>
    <xf numFmtId="0" fontId="6" fillId="6" borderId="82" xfId="0" applyFont="1" applyFill="1" applyBorder="1" applyAlignment="1">
      <alignment horizontal="center" vertical="center"/>
    </xf>
    <xf numFmtId="0" fontId="6" fillId="7" borderId="96" xfId="0" applyFont="1" applyFill="1" applyBorder="1" applyAlignment="1">
      <alignment horizontal="center" vertical="center"/>
    </xf>
    <xf numFmtId="0" fontId="6" fillId="0" borderId="97" xfId="0" applyFont="1" applyBorder="1" applyAlignment="1">
      <alignment vertical="center"/>
    </xf>
    <xf numFmtId="0" fontId="8" fillId="0" borderId="98" xfId="0" applyFont="1" applyBorder="1" applyAlignment="1">
      <alignment horizontal="right" vertical="center"/>
    </xf>
    <xf numFmtId="45" fontId="6" fillId="0" borderId="99" xfId="0" applyNumberFormat="1" applyFont="1" applyBorder="1" applyAlignment="1">
      <alignment vertical="center"/>
    </xf>
    <xf numFmtId="0" fontId="6" fillId="2" borderId="100" xfId="0" applyFont="1" applyFill="1" applyBorder="1" applyAlignment="1">
      <alignment vertical="center"/>
    </xf>
    <xf numFmtId="0" fontId="6" fillId="2" borderId="101" xfId="0" applyFont="1" applyFill="1" applyBorder="1" applyAlignment="1">
      <alignment vertical="center"/>
    </xf>
    <xf numFmtId="0" fontId="6" fillId="3" borderId="101" xfId="0" applyFont="1" applyFill="1" applyBorder="1" applyAlignment="1">
      <alignment vertical="center"/>
    </xf>
    <xf numFmtId="0" fontId="6" fillId="4" borderId="101" xfId="0" applyFont="1" applyFill="1" applyBorder="1" applyAlignment="1">
      <alignment vertical="center"/>
    </xf>
    <xf numFmtId="0" fontId="6" fillId="4" borderId="102" xfId="0" applyFont="1" applyFill="1" applyBorder="1" applyAlignment="1">
      <alignment vertical="center"/>
    </xf>
    <xf numFmtId="0" fontId="6" fillId="0" borderId="103" xfId="0" applyFont="1" applyBorder="1" applyAlignment="1">
      <alignment vertical="center"/>
    </xf>
    <xf numFmtId="177" fontId="1" fillId="0" borderId="104" xfId="0" applyNumberFormat="1" applyFont="1" applyBorder="1"/>
    <xf numFmtId="0" fontId="12" fillId="5" borderId="105" xfId="0" applyFont="1" applyFill="1" applyBorder="1" applyAlignment="1">
      <alignment horizontal="center" vertical="center"/>
    </xf>
    <xf numFmtId="0" fontId="12" fillId="5" borderId="106" xfId="0" applyFont="1" applyFill="1" applyBorder="1" applyAlignment="1">
      <alignment horizontal="center" vertical="center"/>
    </xf>
    <xf numFmtId="0" fontId="12" fillId="6" borderId="106" xfId="0" applyFont="1" applyFill="1" applyBorder="1" applyAlignment="1">
      <alignment horizontal="center" vertical="center"/>
    </xf>
    <xf numFmtId="0" fontId="12" fillId="7" borderId="106" xfId="0" applyFont="1" applyFill="1" applyBorder="1" applyAlignment="1">
      <alignment horizontal="center" vertical="center"/>
    </xf>
    <xf numFmtId="0" fontId="12" fillId="7" borderId="107" xfId="0" applyFont="1" applyFill="1" applyBorder="1" applyAlignment="1">
      <alignment horizontal="center" vertical="center"/>
    </xf>
    <xf numFmtId="0" fontId="8" fillId="0" borderId="108" xfId="0" applyFont="1" applyBorder="1" applyAlignment="1">
      <alignment vertical="center"/>
    </xf>
    <xf numFmtId="177" fontId="6" fillId="0" borderId="109" xfId="0" applyNumberFormat="1" applyFont="1" applyBorder="1" applyAlignment="1">
      <alignment vertical="center"/>
    </xf>
    <xf numFmtId="0" fontId="9" fillId="5" borderId="110" xfId="0" applyFont="1" applyFill="1" applyBorder="1" applyAlignment="1">
      <alignment horizontal="center" vertical="center"/>
    </xf>
    <xf numFmtId="0" fontId="9" fillId="5" borderId="111" xfId="0" applyFont="1" applyFill="1" applyBorder="1" applyAlignment="1">
      <alignment horizontal="center" vertical="center"/>
    </xf>
    <xf numFmtId="0" fontId="9" fillId="5" borderId="112" xfId="0" applyFont="1" applyFill="1" applyBorder="1" applyAlignment="1">
      <alignment horizontal="center" vertical="center"/>
    </xf>
    <xf numFmtId="0" fontId="6" fillId="5" borderId="112" xfId="0" applyFont="1" applyFill="1" applyBorder="1" applyAlignment="1">
      <alignment horizontal="center" vertical="center"/>
    </xf>
    <xf numFmtId="0" fontId="6" fillId="6" borderId="112" xfId="0" applyFont="1" applyFill="1" applyBorder="1" applyAlignment="1">
      <alignment horizontal="center" vertical="center"/>
    </xf>
    <xf numFmtId="0" fontId="9" fillId="6" borderId="112" xfId="0" applyFont="1" applyFill="1" applyBorder="1" applyAlignment="1">
      <alignment horizontal="center" vertical="center"/>
    </xf>
    <xf numFmtId="0" fontId="6" fillId="7" borderId="111" xfId="0" applyFont="1" applyFill="1" applyBorder="1" applyAlignment="1">
      <alignment horizontal="center" vertical="center"/>
    </xf>
    <xf numFmtId="0" fontId="6" fillId="7" borderId="112" xfId="0" applyFont="1" applyFill="1" applyBorder="1" applyAlignment="1">
      <alignment horizontal="center" vertical="center"/>
    </xf>
    <xf numFmtId="0" fontId="9" fillId="7" borderId="113" xfId="0" applyFont="1" applyFill="1" applyBorder="1" applyAlignment="1">
      <alignment horizontal="center" vertical="center"/>
    </xf>
    <xf numFmtId="177" fontId="0" fillId="0" borderId="84" xfId="0" applyNumberFormat="1" applyBorder="1" applyAlignment="1">
      <alignment vertical="center"/>
    </xf>
    <xf numFmtId="0" fontId="0" fillId="2" borderId="77" xfId="0" applyFill="1" applyBorder="1" applyAlignment="1">
      <alignment horizontal="center" vertical="center"/>
    </xf>
    <xf numFmtId="0" fontId="13" fillId="2" borderId="77" xfId="0" applyFont="1" applyFill="1" applyBorder="1" applyAlignment="1">
      <alignment horizontal="center" vertical="center"/>
    </xf>
    <xf numFmtId="0" fontId="0" fillId="4" borderId="77" xfId="0" applyFill="1" applyBorder="1" applyAlignment="1">
      <alignment horizontal="center" vertical="center"/>
    </xf>
    <xf numFmtId="0" fontId="13" fillId="2" borderId="45" xfId="0" applyFont="1" applyFill="1" applyBorder="1" applyAlignment="1">
      <alignment horizontal="center" vertical="center"/>
    </xf>
    <xf numFmtId="0" fontId="0" fillId="0" borderId="83" xfId="0" applyBorder="1"/>
    <xf numFmtId="0" fontId="13" fillId="4" borderId="86" xfId="0" applyFont="1" applyFill="1" applyBorder="1" applyAlignment="1">
      <alignment horizontal="center" vertical="center"/>
    </xf>
    <xf numFmtId="177" fontId="0" fillId="0" borderId="114" xfId="0" applyNumberFormat="1" applyBorder="1" applyAlignment="1">
      <alignment vertical="center"/>
    </xf>
    <xf numFmtId="0" fontId="13" fillId="2" borderId="115" xfId="0" applyFont="1" applyFill="1" applyBorder="1" applyAlignment="1">
      <alignment horizontal="center" vertical="center"/>
    </xf>
    <xf numFmtId="0" fontId="13" fillId="2" borderId="78" xfId="0" applyFont="1" applyFill="1" applyBorder="1" applyAlignment="1">
      <alignment horizontal="center" vertical="center"/>
    </xf>
    <xf numFmtId="0" fontId="13" fillId="4" borderId="78" xfId="0" applyFont="1" applyFill="1" applyBorder="1" applyAlignment="1">
      <alignment horizontal="center" vertical="center"/>
    </xf>
    <xf numFmtId="0" fontId="0" fillId="4" borderId="78" xfId="0" applyFill="1" applyBorder="1" applyAlignment="1">
      <alignment horizontal="center" vertical="center"/>
    </xf>
    <xf numFmtId="0" fontId="5" fillId="0" borderId="92" xfId="0" applyFont="1" applyBorder="1"/>
    <xf numFmtId="0" fontId="14" fillId="2" borderId="115" xfId="0" applyFont="1" applyFill="1" applyBorder="1" applyAlignment="1">
      <alignment horizontal="center" vertical="center"/>
    </xf>
    <xf numFmtId="0" fontId="13" fillId="3" borderId="78" xfId="0" applyFont="1" applyFill="1" applyBorder="1" applyAlignment="1">
      <alignment horizontal="center" vertical="center"/>
    </xf>
    <xf numFmtId="0" fontId="14" fillId="4" borderId="81" xfId="0" applyFont="1" applyFill="1" applyBorder="1" applyAlignment="1">
      <alignment horizontal="center" vertical="center"/>
    </xf>
    <xf numFmtId="0" fontId="0" fillId="2" borderId="71" xfId="0" applyFill="1" applyBorder="1" applyAlignment="1">
      <alignment horizontal="center" vertical="center"/>
    </xf>
  </cellXfs>
  <cellStyles count="1">
    <cellStyle name="標準" xfId="0" builtinId="0"/>
  </cellStyles>
  <dxfs count="12"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C9A5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FFE1CD"/>
      <color rgb="FFFFC9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outlinePr summaryBelow="0" summaryRight="0"/>
    <pageSetUpPr fitToPage="1"/>
  </sheetPr>
  <dimension ref="A1:N1000"/>
  <sheetViews>
    <sheetView workbookViewId="0"/>
  </sheetViews>
  <sheetFormatPr defaultColWidth="12.6328125" defaultRowHeight="15.75" customHeight="1" x14ac:dyDescent="0.25"/>
  <cols>
    <col min="1" max="1" width="17.81640625" customWidth="1"/>
    <col min="2" max="2" width="6.7265625" customWidth="1"/>
    <col min="3" max="3" width="8.1796875" customWidth="1"/>
    <col min="4" max="13" width="7.6328125" customWidth="1"/>
    <col min="14" max="14" width="5.08984375" customWidth="1"/>
  </cols>
  <sheetData>
    <row r="1" spans="1:14" ht="15.75" customHeight="1" thickTop="1" thickBot="1" x14ac:dyDescent="0.3">
      <c r="A1" s="101" t="s">
        <v>0</v>
      </c>
      <c r="B1" s="102" t="s">
        <v>1</v>
      </c>
      <c r="C1" s="103" t="s">
        <v>2</v>
      </c>
      <c r="D1" s="104" t="s">
        <v>3</v>
      </c>
      <c r="E1" s="104" t="s">
        <v>4</v>
      </c>
      <c r="F1" s="108" t="s">
        <v>5</v>
      </c>
      <c r="G1" s="105" t="s">
        <v>6</v>
      </c>
      <c r="H1" s="105" t="s">
        <v>7</v>
      </c>
      <c r="I1" s="106" t="s">
        <v>8</v>
      </c>
      <c r="J1" s="106" t="s">
        <v>9</v>
      </c>
      <c r="K1" s="106" t="s">
        <v>10</v>
      </c>
      <c r="L1" s="106" t="s">
        <v>11</v>
      </c>
      <c r="M1" s="107" t="s">
        <v>12</v>
      </c>
      <c r="N1" s="48" t="s">
        <v>13</v>
      </c>
    </row>
    <row r="2" spans="1:14" ht="15.75" customHeight="1" thickBot="1" x14ac:dyDescent="0.3">
      <c r="A2" s="94" t="s">
        <v>14</v>
      </c>
      <c r="B2" s="95">
        <v>2.7430555555555554E-3</v>
      </c>
      <c r="C2" s="96"/>
      <c r="D2" s="97" t="s">
        <v>15</v>
      </c>
      <c r="E2" s="97" t="s">
        <v>15</v>
      </c>
      <c r="F2" s="97" t="s">
        <v>15</v>
      </c>
      <c r="G2" s="98" t="s">
        <v>15</v>
      </c>
      <c r="H2" s="98" t="s">
        <v>15</v>
      </c>
      <c r="I2" s="99"/>
      <c r="J2" s="109"/>
      <c r="K2" s="109"/>
      <c r="L2" s="99" t="s">
        <v>15</v>
      </c>
      <c r="M2" s="100"/>
      <c r="N2" s="56">
        <f t="shared" ref="N2:N9" si="0">COUNTIF(C2:M2,"◯")</f>
        <v>6</v>
      </c>
    </row>
    <row r="3" spans="1:14" ht="15.75" customHeight="1" x14ac:dyDescent="0.25">
      <c r="A3" s="49" t="s">
        <v>16</v>
      </c>
      <c r="B3" s="50">
        <v>2.4305555555555556E-3</v>
      </c>
      <c r="C3" s="51" t="s">
        <v>15</v>
      </c>
      <c r="D3" s="52" t="s">
        <v>15</v>
      </c>
      <c r="E3" s="52" t="s">
        <v>15</v>
      </c>
      <c r="F3" s="52"/>
      <c r="G3" s="53"/>
      <c r="H3" s="53"/>
      <c r="I3" s="54"/>
      <c r="J3" s="54"/>
      <c r="K3" s="54"/>
      <c r="L3" s="54"/>
      <c r="M3" s="55"/>
      <c r="N3" s="64">
        <f t="shared" si="0"/>
        <v>3</v>
      </c>
    </row>
    <row r="4" spans="1:14" ht="15.75" customHeight="1" x14ac:dyDescent="0.25">
      <c r="A4" s="57" t="s">
        <v>17</v>
      </c>
      <c r="B4" s="58">
        <v>2.1180555555555558E-3</v>
      </c>
      <c r="C4" s="59"/>
      <c r="D4" s="60"/>
      <c r="E4" s="60"/>
      <c r="F4" s="60" t="s">
        <v>15</v>
      </c>
      <c r="G4" s="61" t="s">
        <v>15</v>
      </c>
      <c r="H4" s="61" t="s">
        <v>15</v>
      </c>
      <c r="I4" s="62"/>
      <c r="J4" s="62"/>
      <c r="K4" s="62"/>
      <c r="L4" s="62" t="s">
        <v>15</v>
      </c>
      <c r="M4" s="63" t="s">
        <v>15</v>
      </c>
      <c r="N4" s="64">
        <f t="shared" si="0"/>
        <v>5</v>
      </c>
    </row>
    <row r="5" spans="1:14" ht="15.75" customHeight="1" thickBot="1" x14ac:dyDescent="0.3">
      <c r="A5" s="79" t="s">
        <v>18</v>
      </c>
      <c r="B5" s="80">
        <v>2.5115740740740741E-3</v>
      </c>
      <c r="C5" s="81" t="s">
        <v>15</v>
      </c>
      <c r="D5" s="82" t="s">
        <v>15</v>
      </c>
      <c r="E5" s="82"/>
      <c r="F5" s="82"/>
      <c r="G5" s="110"/>
      <c r="H5" s="110"/>
      <c r="I5" s="84" t="s">
        <v>15</v>
      </c>
      <c r="J5" s="84" t="s">
        <v>15</v>
      </c>
      <c r="K5" s="84" t="s">
        <v>15</v>
      </c>
      <c r="L5" s="84"/>
      <c r="M5" s="85"/>
      <c r="N5" s="64">
        <f t="shared" si="0"/>
        <v>5</v>
      </c>
    </row>
    <row r="6" spans="1:14" ht="15.75" customHeight="1" x14ac:dyDescent="0.25">
      <c r="A6" s="49" t="s">
        <v>19</v>
      </c>
      <c r="B6" s="50">
        <v>2.488425925925926E-3</v>
      </c>
      <c r="C6" s="51"/>
      <c r="D6" s="52"/>
      <c r="E6" s="52" t="s">
        <v>15</v>
      </c>
      <c r="F6" s="52" t="s">
        <v>15</v>
      </c>
      <c r="G6" s="53"/>
      <c r="H6" s="53"/>
      <c r="I6" s="54"/>
      <c r="J6" s="54"/>
      <c r="K6" s="54"/>
      <c r="L6" s="54"/>
      <c r="M6" s="55"/>
      <c r="N6" s="64">
        <f t="shared" si="0"/>
        <v>2</v>
      </c>
    </row>
    <row r="7" spans="1:14" ht="15.75" customHeight="1" x14ac:dyDescent="0.25">
      <c r="A7" s="57" t="s">
        <v>20</v>
      </c>
      <c r="B7" s="58">
        <v>2.0833333333333333E-3</v>
      </c>
      <c r="C7" s="59"/>
      <c r="D7" s="60"/>
      <c r="E7" s="60"/>
      <c r="F7" s="60"/>
      <c r="G7" s="61" t="s">
        <v>15</v>
      </c>
      <c r="H7" s="61" t="s">
        <v>15</v>
      </c>
      <c r="I7" s="62"/>
      <c r="J7" s="62"/>
      <c r="K7" s="62"/>
      <c r="L7" s="62"/>
      <c r="M7" s="63"/>
      <c r="N7" s="64">
        <f t="shared" si="0"/>
        <v>2</v>
      </c>
    </row>
    <row r="8" spans="1:14" ht="15.75" customHeight="1" thickBot="1" x14ac:dyDescent="0.3">
      <c r="A8" s="93" t="s">
        <v>53</v>
      </c>
      <c r="B8" s="80">
        <v>2.7430555555555554E-3</v>
      </c>
      <c r="C8" s="81" t="s">
        <v>15</v>
      </c>
      <c r="D8" s="111"/>
      <c r="E8" s="82" t="s">
        <v>15</v>
      </c>
      <c r="F8" s="82" t="s">
        <v>15</v>
      </c>
      <c r="G8" s="83"/>
      <c r="H8" s="83"/>
      <c r="I8" s="84"/>
      <c r="J8" s="84"/>
      <c r="K8" s="84"/>
      <c r="L8" s="84"/>
      <c r="M8" s="85" t="s">
        <v>15</v>
      </c>
      <c r="N8" s="64">
        <f t="shared" si="0"/>
        <v>4</v>
      </c>
    </row>
    <row r="9" spans="1:14" ht="15.75" customHeight="1" thickBot="1" x14ac:dyDescent="0.3">
      <c r="A9" s="86" t="s">
        <v>21</v>
      </c>
      <c r="B9" s="87">
        <v>1.5625000000000001E-3</v>
      </c>
      <c r="C9" s="88" t="s">
        <v>15</v>
      </c>
      <c r="D9" s="89" t="s">
        <v>15</v>
      </c>
      <c r="E9" s="89" t="s">
        <v>15</v>
      </c>
      <c r="F9" s="89" t="s">
        <v>15</v>
      </c>
      <c r="G9" s="90" t="s">
        <v>15</v>
      </c>
      <c r="H9" s="90" t="s">
        <v>15</v>
      </c>
      <c r="I9" s="91" t="s">
        <v>15</v>
      </c>
      <c r="J9" s="91" t="s">
        <v>15</v>
      </c>
      <c r="K9" s="91" t="s">
        <v>15</v>
      </c>
      <c r="L9" s="91" t="s">
        <v>15</v>
      </c>
      <c r="M9" s="92" t="s">
        <v>15</v>
      </c>
      <c r="N9" s="65">
        <f t="shared" si="0"/>
        <v>11</v>
      </c>
    </row>
    <row r="10" spans="1:14" ht="15.75" customHeight="1" x14ac:dyDescent="0.25">
      <c r="A10" s="66" t="s">
        <v>22</v>
      </c>
      <c r="B10" s="67">
        <f>SUM(B2:B9)</f>
        <v>1.8680555555555554E-2</v>
      </c>
      <c r="C10" s="69">
        <f t="shared" ref="C10:M10" si="1">COUNTIF(C2:C9,"◯")</f>
        <v>4</v>
      </c>
      <c r="D10" s="70">
        <f t="shared" si="1"/>
        <v>4</v>
      </c>
      <c r="E10" s="70">
        <f t="shared" si="1"/>
        <v>5</v>
      </c>
      <c r="F10" s="70">
        <f t="shared" si="1"/>
        <v>5</v>
      </c>
      <c r="G10" s="71">
        <f t="shared" si="1"/>
        <v>4</v>
      </c>
      <c r="H10" s="71">
        <f t="shared" si="1"/>
        <v>4</v>
      </c>
      <c r="I10" s="72">
        <f t="shared" si="1"/>
        <v>2</v>
      </c>
      <c r="J10" s="72">
        <f t="shared" si="1"/>
        <v>2</v>
      </c>
      <c r="K10" s="72">
        <f t="shared" si="1"/>
        <v>2</v>
      </c>
      <c r="L10" s="72">
        <f t="shared" si="1"/>
        <v>3</v>
      </c>
      <c r="M10" s="73">
        <f t="shared" si="1"/>
        <v>3</v>
      </c>
      <c r="N10" s="68"/>
    </row>
    <row r="11" spans="1:14" ht="15.75" customHeight="1" x14ac:dyDescent="0.25"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4" ht="15.75" customHeight="1" x14ac:dyDescent="0.25">
      <c r="B12" s="1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4" ht="15.75" customHeight="1" x14ac:dyDescent="0.25">
      <c r="B13" s="1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4" ht="15.75" customHeight="1" x14ac:dyDescent="0.25">
      <c r="B14" s="1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4" ht="15.75" customHeight="1" x14ac:dyDescent="0.25">
      <c r="B15" s="1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4" ht="15.75" customHeight="1" x14ac:dyDescent="0.25">
      <c r="B16" s="1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2:13" ht="15.75" customHeight="1" x14ac:dyDescent="0.25">
      <c r="B17" s="1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2:13" ht="15.75" customHeight="1" x14ac:dyDescent="0.25">
      <c r="B18" s="1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2:13" ht="15.75" customHeight="1" x14ac:dyDescent="0.25">
      <c r="B19" s="1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2:13" ht="15.75" customHeight="1" x14ac:dyDescent="0.25">
      <c r="B20" s="1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2:13" ht="15.75" customHeight="1" x14ac:dyDescent="0.25">
      <c r="B21" s="1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2:13" ht="15.75" customHeight="1" x14ac:dyDescent="0.25">
      <c r="B22" s="1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2:13" ht="15.75" customHeight="1" x14ac:dyDescent="0.25">
      <c r="B23" s="1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2:13" ht="12.5" x14ac:dyDescent="0.25">
      <c r="B24" s="1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2:13" ht="12.5" x14ac:dyDescent="0.25"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2:13" ht="12.5" x14ac:dyDescent="0.25">
      <c r="B26" s="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2:13" ht="12.5" x14ac:dyDescent="0.25">
      <c r="B27" s="1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2:13" ht="12.5" x14ac:dyDescent="0.25">
      <c r="B28" s="1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2:13" ht="12.5" x14ac:dyDescent="0.25">
      <c r="B29" s="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2:13" ht="12.5" x14ac:dyDescent="0.25">
      <c r="B30" s="1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2:13" ht="12.5" x14ac:dyDescent="0.25">
      <c r="B31" s="1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2:13" ht="12.5" x14ac:dyDescent="0.25">
      <c r="B32" s="1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2:13" ht="12.5" x14ac:dyDescent="0.25">
      <c r="B33" s="1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2:13" ht="12.5" x14ac:dyDescent="0.25">
      <c r="B34" s="1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2:13" ht="12.5" x14ac:dyDescent="0.25">
      <c r="B35" s="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2:13" ht="12.5" x14ac:dyDescent="0.25">
      <c r="B36" s="1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2:13" ht="12.5" x14ac:dyDescent="0.25">
      <c r="B37" s="1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2:13" ht="12.5" x14ac:dyDescent="0.25">
      <c r="B38" s="1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2:13" ht="12.5" x14ac:dyDescent="0.25">
      <c r="B39" s="1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2:13" ht="12.5" x14ac:dyDescent="0.25">
      <c r="B40" s="1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2:13" ht="12.5" x14ac:dyDescent="0.25">
      <c r="B41" s="1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2:13" ht="12.5" x14ac:dyDescent="0.25">
      <c r="B42" s="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2:13" ht="12.5" x14ac:dyDescent="0.25">
      <c r="B43" s="1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2:13" ht="12.5" x14ac:dyDescent="0.25">
      <c r="B44" s="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2:13" ht="12.5" x14ac:dyDescent="0.25">
      <c r="B45" s="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2:13" ht="12.5" x14ac:dyDescent="0.25">
      <c r="B46" s="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2:13" ht="12.5" x14ac:dyDescent="0.25">
      <c r="B47" s="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2:13" ht="12.5" x14ac:dyDescent="0.25">
      <c r="B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2:13" ht="12.5" x14ac:dyDescent="0.25">
      <c r="B49" s="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2:13" ht="12.5" x14ac:dyDescent="0.25">
      <c r="B50" s="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2:13" ht="12.5" x14ac:dyDescent="0.25">
      <c r="B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2:13" ht="12.5" x14ac:dyDescent="0.25"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2:13" ht="12.5" x14ac:dyDescent="0.25"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2:13" ht="12.5" x14ac:dyDescent="0.25"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2:13" ht="12.5" x14ac:dyDescent="0.25"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2:13" ht="12.5" x14ac:dyDescent="0.25"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2:13" ht="12.5" x14ac:dyDescent="0.25"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2:13" ht="12.5" x14ac:dyDescent="0.25"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2:13" ht="12.5" x14ac:dyDescent="0.25"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2:13" ht="12.5" x14ac:dyDescent="0.25"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2:13" ht="12.5" x14ac:dyDescent="0.25"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2:13" ht="12.5" x14ac:dyDescent="0.25"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2:13" ht="12.5" x14ac:dyDescent="0.25"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2:13" ht="12.5" x14ac:dyDescent="0.25"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2:13" ht="12.5" x14ac:dyDescent="0.25"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2:13" ht="12.5" x14ac:dyDescent="0.25"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2:13" ht="12.5" x14ac:dyDescent="0.25"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2:13" ht="12.5" x14ac:dyDescent="0.25"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2:13" ht="12.5" x14ac:dyDescent="0.25"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2:13" ht="12.5" x14ac:dyDescent="0.25"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2:13" ht="12.5" x14ac:dyDescent="0.25"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2:13" ht="12.5" x14ac:dyDescent="0.25"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2:13" ht="12.5" x14ac:dyDescent="0.25"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2:13" ht="12.5" x14ac:dyDescent="0.25"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2:13" ht="12.5" x14ac:dyDescent="0.25"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2:13" ht="12.5" x14ac:dyDescent="0.25"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2:13" ht="12.5" x14ac:dyDescent="0.25"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2:13" ht="12.5" x14ac:dyDescent="0.25"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2:13" ht="12.5" x14ac:dyDescent="0.25"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2:13" ht="12.5" x14ac:dyDescent="0.25"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2:13" ht="12.5" x14ac:dyDescent="0.25"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2:13" ht="12.5" x14ac:dyDescent="0.25"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2:13" ht="12.5" x14ac:dyDescent="0.25"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2:13" ht="12.5" x14ac:dyDescent="0.25"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2:13" ht="12.5" x14ac:dyDescent="0.25"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2:13" ht="12.5" x14ac:dyDescent="0.25"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2:13" ht="12.5" x14ac:dyDescent="0.25"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2:13" ht="12.5" x14ac:dyDescent="0.25"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2:13" ht="12.5" x14ac:dyDescent="0.25"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2:13" ht="12.5" x14ac:dyDescent="0.25"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2:13" ht="12.5" x14ac:dyDescent="0.25"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2:13" ht="12.5" x14ac:dyDescent="0.25"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2:13" ht="12.5" x14ac:dyDescent="0.25"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2:13" ht="12.5" x14ac:dyDescent="0.25"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2:13" ht="12.5" x14ac:dyDescent="0.25"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2:13" ht="12.5" x14ac:dyDescent="0.25"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2:13" ht="12.5" x14ac:dyDescent="0.25"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2:13" ht="12.5" x14ac:dyDescent="0.25"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2:13" ht="12.5" x14ac:dyDescent="0.25"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2:13" ht="12.5" x14ac:dyDescent="0.25"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2:13" ht="12.5" x14ac:dyDescent="0.25"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2:13" ht="12.5" x14ac:dyDescent="0.25"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2:13" ht="12.5" x14ac:dyDescent="0.25"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2:13" ht="12.5" x14ac:dyDescent="0.25"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2:13" ht="12.5" x14ac:dyDescent="0.25"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2:13" ht="12.5" x14ac:dyDescent="0.25"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2:13" ht="12.5" x14ac:dyDescent="0.25"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2:13" ht="12.5" x14ac:dyDescent="0.25"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2:13" ht="12.5" x14ac:dyDescent="0.25"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2:13" ht="12.5" x14ac:dyDescent="0.25"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2:13" ht="12.5" x14ac:dyDescent="0.25"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2:13" ht="12.5" x14ac:dyDescent="0.25"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2:13" ht="12.5" x14ac:dyDescent="0.25"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2:13" ht="12.5" x14ac:dyDescent="0.25"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2:13" ht="12.5" x14ac:dyDescent="0.25"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2:13" ht="12.5" x14ac:dyDescent="0.25"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2:13" ht="12.5" x14ac:dyDescent="0.25"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2:13" ht="12.5" x14ac:dyDescent="0.25"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2:13" ht="12.5" x14ac:dyDescent="0.25"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2:13" ht="12.5" x14ac:dyDescent="0.25"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2:13" ht="12.5" x14ac:dyDescent="0.25"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2:13" ht="12.5" x14ac:dyDescent="0.25"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2:13" ht="12.5" x14ac:dyDescent="0.25"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2:13" ht="12.5" x14ac:dyDescent="0.25"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2:13" ht="12.5" x14ac:dyDescent="0.25"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2:13" ht="12.5" x14ac:dyDescent="0.25"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2:13" ht="12.5" x14ac:dyDescent="0.25"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2:13" ht="12.5" x14ac:dyDescent="0.25"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2:13" ht="12.5" x14ac:dyDescent="0.25"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2:13" ht="12.5" x14ac:dyDescent="0.25"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2:13" ht="12.5" x14ac:dyDescent="0.25"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2:13" ht="12.5" x14ac:dyDescent="0.25"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2:13" ht="12.5" x14ac:dyDescent="0.25"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2:13" ht="12.5" x14ac:dyDescent="0.25"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2:13" ht="12.5" x14ac:dyDescent="0.25"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2:13" ht="12.5" x14ac:dyDescent="0.25"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2:13" ht="12.5" x14ac:dyDescent="0.25"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2:13" ht="12.5" x14ac:dyDescent="0.25"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2:13" ht="12.5" x14ac:dyDescent="0.25"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2:13" ht="12.5" x14ac:dyDescent="0.25"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2:13" ht="12.5" x14ac:dyDescent="0.25"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2:13" ht="12.5" x14ac:dyDescent="0.25"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2:13" ht="12.5" x14ac:dyDescent="0.25"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2:13" ht="12.5" x14ac:dyDescent="0.25"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2:13" ht="12.5" x14ac:dyDescent="0.25"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2:13" ht="12.5" x14ac:dyDescent="0.25"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2:13" ht="12.5" x14ac:dyDescent="0.25"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2:13" ht="12.5" x14ac:dyDescent="0.25"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2:13" ht="12.5" x14ac:dyDescent="0.25"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2:13" ht="12.5" x14ac:dyDescent="0.25"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2:13" ht="12.5" x14ac:dyDescent="0.25"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2:13" ht="12.5" x14ac:dyDescent="0.25"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2:13" ht="12.5" x14ac:dyDescent="0.25"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2:13" ht="12.5" x14ac:dyDescent="0.25"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2:13" ht="12.5" x14ac:dyDescent="0.25"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2:13" ht="12.5" x14ac:dyDescent="0.25"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2:13" ht="12.5" x14ac:dyDescent="0.25"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2:13" ht="12.5" x14ac:dyDescent="0.25"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2:13" ht="12.5" x14ac:dyDescent="0.25"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2:13" ht="12.5" x14ac:dyDescent="0.25"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2:13" ht="12.5" x14ac:dyDescent="0.25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2:13" ht="12.5" x14ac:dyDescent="0.25"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2:13" ht="12.5" x14ac:dyDescent="0.25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2:13" ht="12.5" x14ac:dyDescent="0.25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2:13" ht="12.5" x14ac:dyDescent="0.25"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2:13" ht="12.5" x14ac:dyDescent="0.25"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2:13" ht="12.5" x14ac:dyDescent="0.25"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2:13" ht="12.5" x14ac:dyDescent="0.25"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2:13" ht="12.5" x14ac:dyDescent="0.25"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2:13" ht="12.5" x14ac:dyDescent="0.25"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2:13" ht="12.5" x14ac:dyDescent="0.25"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2:13" ht="12.5" x14ac:dyDescent="0.25"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2:13" ht="12.5" x14ac:dyDescent="0.25"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2:13" ht="12.5" x14ac:dyDescent="0.25"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2:13" ht="12.5" x14ac:dyDescent="0.25"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2:13" ht="12.5" x14ac:dyDescent="0.25"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2:13" ht="12.5" x14ac:dyDescent="0.25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2:13" ht="12.5" x14ac:dyDescent="0.25"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2:13" ht="12.5" x14ac:dyDescent="0.25"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2:13" ht="12.5" x14ac:dyDescent="0.25"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2:13" ht="12.5" x14ac:dyDescent="0.25"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2:13" ht="12.5" x14ac:dyDescent="0.25"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2:13" ht="12.5" x14ac:dyDescent="0.25"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2:13" ht="12.5" x14ac:dyDescent="0.25"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2:13" ht="12.5" x14ac:dyDescent="0.25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2:13" ht="12.5" x14ac:dyDescent="0.25"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2:13" ht="12.5" x14ac:dyDescent="0.25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2:13" ht="12.5" x14ac:dyDescent="0.25"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2:13" ht="12.5" x14ac:dyDescent="0.25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2:13" ht="12.5" x14ac:dyDescent="0.25"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2:13" ht="12.5" x14ac:dyDescent="0.25"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2:13" ht="12.5" x14ac:dyDescent="0.25"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2:13" ht="12.5" x14ac:dyDescent="0.25"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2:13" ht="12.5" x14ac:dyDescent="0.25"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2:13" ht="12.5" x14ac:dyDescent="0.25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2:13" ht="12.5" x14ac:dyDescent="0.25"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2:13" ht="12.5" x14ac:dyDescent="0.25"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2:13" ht="12.5" x14ac:dyDescent="0.25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2:13" ht="12.5" x14ac:dyDescent="0.25"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2:13" ht="12.5" x14ac:dyDescent="0.25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2:13" ht="12.5" x14ac:dyDescent="0.25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2:13" ht="12.5" x14ac:dyDescent="0.25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2:13" ht="12.5" x14ac:dyDescent="0.25"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2:13" ht="12.5" x14ac:dyDescent="0.25"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2:13" ht="12.5" x14ac:dyDescent="0.25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2:13" ht="12.5" x14ac:dyDescent="0.25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2:13" ht="12.5" x14ac:dyDescent="0.25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2:13" ht="12.5" x14ac:dyDescent="0.25"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2:13" ht="12.5" x14ac:dyDescent="0.25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2:13" ht="12.5" x14ac:dyDescent="0.25"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2:13" ht="12.5" x14ac:dyDescent="0.25"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2:13" ht="12.5" x14ac:dyDescent="0.25"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2:13" ht="12.5" x14ac:dyDescent="0.25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2:13" ht="12.5" x14ac:dyDescent="0.25"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2:13" ht="12.5" x14ac:dyDescent="0.25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2:13" ht="12.5" x14ac:dyDescent="0.25"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2:13" ht="12.5" x14ac:dyDescent="0.25"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2:13" ht="12.5" x14ac:dyDescent="0.25"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2:13" ht="12.5" x14ac:dyDescent="0.25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2:13" ht="12.5" x14ac:dyDescent="0.25"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2:13" ht="12.5" x14ac:dyDescent="0.25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2:13" ht="12.5" x14ac:dyDescent="0.25"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2:13" ht="12.5" x14ac:dyDescent="0.25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2:13" ht="12.5" x14ac:dyDescent="0.25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2:13" ht="12.5" x14ac:dyDescent="0.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2:13" ht="12.5" x14ac:dyDescent="0.25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2:13" ht="12.5" x14ac:dyDescent="0.25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2:13" ht="12.5" x14ac:dyDescent="0.25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2:13" ht="12.5" x14ac:dyDescent="0.25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2:13" ht="12.5" x14ac:dyDescent="0.25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2:13" ht="12.5" x14ac:dyDescent="0.25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2:13" ht="12.5" x14ac:dyDescent="0.25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2:13" ht="12.5" x14ac:dyDescent="0.25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2:13" ht="12.5" x14ac:dyDescent="0.25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2:13" ht="12.5" x14ac:dyDescent="0.2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2:13" ht="12.5" x14ac:dyDescent="0.25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2:13" ht="12.5" x14ac:dyDescent="0.25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2:13" ht="12.5" x14ac:dyDescent="0.25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2:13" ht="12.5" x14ac:dyDescent="0.25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2:13" ht="12.5" x14ac:dyDescent="0.25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2:13" ht="12.5" x14ac:dyDescent="0.25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2:13" ht="12.5" x14ac:dyDescent="0.25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2:13" ht="12.5" x14ac:dyDescent="0.25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2:13" ht="12.5" x14ac:dyDescent="0.25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2:13" ht="12.5" x14ac:dyDescent="0.2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2:13" ht="12.5" x14ac:dyDescent="0.25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2:13" ht="12.5" x14ac:dyDescent="0.25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2:13" ht="12.5" x14ac:dyDescent="0.25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2:13" ht="12.5" x14ac:dyDescent="0.25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2:13" ht="12.5" x14ac:dyDescent="0.25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2:13" ht="12.5" x14ac:dyDescent="0.25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2:13" ht="12.5" x14ac:dyDescent="0.25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2:13" ht="12.5" x14ac:dyDescent="0.25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2:13" ht="12.5" x14ac:dyDescent="0.25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2:13" ht="12.5" x14ac:dyDescent="0.2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2:13" ht="12.5" x14ac:dyDescent="0.25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2:13" ht="12.5" x14ac:dyDescent="0.25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2:13" ht="12.5" x14ac:dyDescent="0.25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2:13" ht="12.5" x14ac:dyDescent="0.25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2:13" ht="12.5" x14ac:dyDescent="0.25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2:13" ht="12.5" x14ac:dyDescent="0.25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2:13" ht="12.5" x14ac:dyDescent="0.25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2:13" ht="12.5" x14ac:dyDescent="0.25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2:13" ht="12.5" x14ac:dyDescent="0.25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2:13" ht="12.5" x14ac:dyDescent="0.2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2:13" ht="12.5" x14ac:dyDescent="0.25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2:13" ht="12.5" x14ac:dyDescent="0.25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2:13" ht="12.5" x14ac:dyDescent="0.25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2:13" ht="12.5" x14ac:dyDescent="0.25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2:13" ht="12.5" x14ac:dyDescent="0.25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2:13" ht="12.5" x14ac:dyDescent="0.25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2:13" ht="12.5" x14ac:dyDescent="0.25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2:13" ht="12.5" x14ac:dyDescent="0.25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2:13" ht="12.5" x14ac:dyDescent="0.25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2:13" ht="12.5" x14ac:dyDescent="0.2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2:13" ht="12.5" x14ac:dyDescent="0.25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2:13" ht="12.5" x14ac:dyDescent="0.25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2:13" ht="12.5" x14ac:dyDescent="0.25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2:13" ht="12.5" x14ac:dyDescent="0.25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2:13" ht="12.5" x14ac:dyDescent="0.25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2:13" ht="12.5" x14ac:dyDescent="0.25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2:13" ht="12.5" x14ac:dyDescent="0.25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2:13" ht="12.5" x14ac:dyDescent="0.25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2:13" ht="12.5" x14ac:dyDescent="0.25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2:13" ht="12.5" x14ac:dyDescent="0.2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2:13" ht="12.5" x14ac:dyDescent="0.25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2:13" ht="12.5" x14ac:dyDescent="0.25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2:13" ht="12.5" x14ac:dyDescent="0.25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2:13" ht="12.5" x14ac:dyDescent="0.25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2:13" ht="12.5" x14ac:dyDescent="0.25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2:13" ht="12.5" x14ac:dyDescent="0.25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2:13" ht="12.5" x14ac:dyDescent="0.25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2:13" ht="12.5" x14ac:dyDescent="0.25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2:13" ht="12.5" x14ac:dyDescent="0.25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2:13" ht="12.5" x14ac:dyDescent="0.2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2:13" ht="12.5" x14ac:dyDescent="0.25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2:13" ht="12.5" x14ac:dyDescent="0.25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2:13" ht="12.5" x14ac:dyDescent="0.25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2:13" ht="12.5" x14ac:dyDescent="0.25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2:13" ht="12.5" x14ac:dyDescent="0.25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2:13" ht="12.5" x14ac:dyDescent="0.25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2:13" ht="12.5" x14ac:dyDescent="0.25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2:13" ht="12.5" x14ac:dyDescent="0.25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2:13" ht="12.5" x14ac:dyDescent="0.25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2:13" ht="12.5" x14ac:dyDescent="0.2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2:13" ht="12.5" x14ac:dyDescent="0.25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2:13" ht="12.5" x14ac:dyDescent="0.25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2:13" ht="12.5" x14ac:dyDescent="0.25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2:13" ht="12.5" x14ac:dyDescent="0.25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2:13" ht="12.5" x14ac:dyDescent="0.25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2:13" ht="12.5" x14ac:dyDescent="0.25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2:13" ht="12.5" x14ac:dyDescent="0.25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2:13" ht="12.5" x14ac:dyDescent="0.25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2:13" ht="12.5" x14ac:dyDescent="0.25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2:13" ht="12.5" x14ac:dyDescent="0.2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2:13" ht="12.5" x14ac:dyDescent="0.25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2:13" ht="12.5" x14ac:dyDescent="0.25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2:13" ht="12.5" x14ac:dyDescent="0.25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2:13" ht="12.5" x14ac:dyDescent="0.25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2:13" ht="12.5" x14ac:dyDescent="0.25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2:13" ht="12.5" x14ac:dyDescent="0.25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2:13" ht="12.5" x14ac:dyDescent="0.25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2:13" ht="12.5" x14ac:dyDescent="0.25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2:13" ht="12.5" x14ac:dyDescent="0.25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2:13" ht="12.5" x14ac:dyDescent="0.2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2:13" ht="12.5" x14ac:dyDescent="0.25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2:13" ht="12.5" x14ac:dyDescent="0.25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2:13" ht="12.5" x14ac:dyDescent="0.25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2:13" ht="12.5" x14ac:dyDescent="0.25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2:13" ht="12.5" x14ac:dyDescent="0.25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2:13" ht="12.5" x14ac:dyDescent="0.25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2:13" ht="12.5" x14ac:dyDescent="0.25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2:13" ht="12.5" x14ac:dyDescent="0.25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2:13" ht="12.5" x14ac:dyDescent="0.25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2:13" ht="12.5" x14ac:dyDescent="0.2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2:13" ht="12.5" x14ac:dyDescent="0.25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2:13" ht="12.5" x14ac:dyDescent="0.25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2:13" ht="12.5" x14ac:dyDescent="0.25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2:13" ht="12.5" x14ac:dyDescent="0.25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2:13" ht="12.5" x14ac:dyDescent="0.25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2:13" ht="12.5" x14ac:dyDescent="0.25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2:13" ht="12.5" x14ac:dyDescent="0.25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2:13" ht="12.5" x14ac:dyDescent="0.25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2:13" ht="12.5" x14ac:dyDescent="0.25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2:13" ht="12.5" x14ac:dyDescent="0.2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2:13" ht="12.5" x14ac:dyDescent="0.25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2:13" ht="12.5" x14ac:dyDescent="0.25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2:13" ht="12.5" x14ac:dyDescent="0.25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2:13" ht="12.5" x14ac:dyDescent="0.25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2:13" ht="12.5" x14ac:dyDescent="0.25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2:13" ht="12.5" x14ac:dyDescent="0.25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2:13" ht="12.5" x14ac:dyDescent="0.25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2:13" ht="12.5" x14ac:dyDescent="0.25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2:13" ht="12.5" x14ac:dyDescent="0.25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2:13" ht="12.5" x14ac:dyDescent="0.2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2:13" ht="12.5" x14ac:dyDescent="0.25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2:13" ht="12.5" x14ac:dyDescent="0.25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2:13" ht="12.5" x14ac:dyDescent="0.25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2:13" ht="12.5" x14ac:dyDescent="0.25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2:13" ht="12.5" x14ac:dyDescent="0.25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2:13" ht="12.5" x14ac:dyDescent="0.25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2:13" ht="12.5" x14ac:dyDescent="0.25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2:13" ht="12.5" x14ac:dyDescent="0.25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2:13" ht="12.5" x14ac:dyDescent="0.25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2:13" ht="12.5" x14ac:dyDescent="0.2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2:13" ht="12.5" x14ac:dyDescent="0.25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2:13" ht="12.5" x14ac:dyDescent="0.25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2:13" ht="12.5" x14ac:dyDescent="0.25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2:13" ht="12.5" x14ac:dyDescent="0.25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2:13" ht="12.5" x14ac:dyDescent="0.25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2:13" ht="12.5" x14ac:dyDescent="0.25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2:13" ht="12.5" x14ac:dyDescent="0.25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2:13" ht="12.5" x14ac:dyDescent="0.25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2:13" ht="12.5" x14ac:dyDescent="0.25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2:13" ht="12.5" x14ac:dyDescent="0.2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2:13" ht="12.5" x14ac:dyDescent="0.25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2:13" ht="12.5" x14ac:dyDescent="0.25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2:13" ht="12.5" x14ac:dyDescent="0.25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2:13" ht="12.5" x14ac:dyDescent="0.25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2:13" ht="12.5" x14ac:dyDescent="0.25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2:13" ht="12.5" x14ac:dyDescent="0.25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2:13" ht="12.5" x14ac:dyDescent="0.25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2:13" ht="12.5" x14ac:dyDescent="0.25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2:13" ht="12.5" x14ac:dyDescent="0.25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2:13" ht="12.5" x14ac:dyDescent="0.2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2:13" ht="12.5" x14ac:dyDescent="0.25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2:13" ht="12.5" x14ac:dyDescent="0.25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2:13" ht="12.5" x14ac:dyDescent="0.25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2:13" ht="12.5" x14ac:dyDescent="0.25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2:13" ht="12.5" x14ac:dyDescent="0.25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2:13" ht="12.5" x14ac:dyDescent="0.25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2:13" ht="12.5" x14ac:dyDescent="0.25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2:13" ht="12.5" x14ac:dyDescent="0.25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2:13" ht="12.5" x14ac:dyDescent="0.25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2:13" ht="12.5" x14ac:dyDescent="0.2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2:13" ht="12.5" x14ac:dyDescent="0.25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2:13" ht="12.5" x14ac:dyDescent="0.25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2:13" ht="12.5" x14ac:dyDescent="0.25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2:13" ht="12.5" x14ac:dyDescent="0.25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2:13" ht="12.5" x14ac:dyDescent="0.25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2:13" ht="12.5" x14ac:dyDescent="0.25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2:13" ht="12.5" x14ac:dyDescent="0.25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2:13" ht="12.5" x14ac:dyDescent="0.25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2:13" ht="12.5" x14ac:dyDescent="0.25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2:13" ht="12.5" x14ac:dyDescent="0.2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2:13" ht="12.5" x14ac:dyDescent="0.25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2:13" ht="12.5" x14ac:dyDescent="0.25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2:13" ht="12.5" x14ac:dyDescent="0.25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2:13" ht="12.5" x14ac:dyDescent="0.25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2:13" ht="12.5" x14ac:dyDescent="0.25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2:13" ht="12.5" x14ac:dyDescent="0.25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2:13" ht="12.5" x14ac:dyDescent="0.25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2:13" ht="12.5" x14ac:dyDescent="0.25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2:13" ht="12.5" x14ac:dyDescent="0.25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2:13" ht="12.5" x14ac:dyDescent="0.2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2:13" ht="12.5" x14ac:dyDescent="0.25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2:13" ht="12.5" x14ac:dyDescent="0.25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2:13" ht="12.5" x14ac:dyDescent="0.25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2:13" ht="12.5" x14ac:dyDescent="0.25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2:13" ht="12.5" x14ac:dyDescent="0.25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2:13" ht="12.5" x14ac:dyDescent="0.25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2:13" ht="12.5" x14ac:dyDescent="0.25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2:13" ht="12.5" x14ac:dyDescent="0.25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2:13" ht="12.5" x14ac:dyDescent="0.25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2:13" ht="12.5" x14ac:dyDescent="0.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2:13" ht="12.5" x14ac:dyDescent="0.25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2:13" ht="12.5" x14ac:dyDescent="0.25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2:13" ht="12.5" x14ac:dyDescent="0.25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2:13" ht="12.5" x14ac:dyDescent="0.25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2:13" ht="12.5" x14ac:dyDescent="0.25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2:13" ht="12.5" x14ac:dyDescent="0.25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2:13" ht="12.5" x14ac:dyDescent="0.25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2:13" ht="12.5" x14ac:dyDescent="0.25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2:13" ht="12.5" x14ac:dyDescent="0.25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2:13" ht="12.5" x14ac:dyDescent="0.2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2:13" ht="12.5" x14ac:dyDescent="0.25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2:13" ht="12.5" x14ac:dyDescent="0.25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2:13" ht="12.5" x14ac:dyDescent="0.25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2:13" ht="12.5" x14ac:dyDescent="0.25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2:13" ht="12.5" x14ac:dyDescent="0.25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2:13" ht="12.5" x14ac:dyDescent="0.25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2:13" ht="12.5" x14ac:dyDescent="0.25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2:13" ht="12.5" x14ac:dyDescent="0.25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2:13" ht="12.5" x14ac:dyDescent="0.25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2:13" ht="12.5" x14ac:dyDescent="0.2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2:13" ht="12.5" x14ac:dyDescent="0.25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2:13" ht="12.5" x14ac:dyDescent="0.25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2:13" ht="12.5" x14ac:dyDescent="0.25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2:13" ht="12.5" x14ac:dyDescent="0.25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2:13" ht="12.5" x14ac:dyDescent="0.25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2:13" ht="12.5" x14ac:dyDescent="0.25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2:13" ht="12.5" x14ac:dyDescent="0.25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2:13" ht="12.5" x14ac:dyDescent="0.25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2:13" ht="12.5" x14ac:dyDescent="0.25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2:13" ht="12.5" x14ac:dyDescent="0.2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2:13" ht="12.5" x14ac:dyDescent="0.25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2:13" ht="12.5" x14ac:dyDescent="0.25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2:13" ht="12.5" x14ac:dyDescent="0.25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2:13" ht="12.5" x14ac:dyDescent="0.25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2:13" ht="12.5" x14ac:dyDescent="0.25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2:13" ht="12.5" x14ac:dyDescent="0.25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2:13" ht="12.5" x14ac:dyDescent="0.25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2:13" ht="12.5" x14ac:dyDescent="0.25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2:13" ht="12.5" x14ac:dyDescent="0.25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2:13" ht="12.5" x14ac:dyDescent="0.2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2:13" ht="12.5" x14ac:dyDescent="0.25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2:13" ht="12.5" x14ac:dyDescent="0.25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2:13" ht="12.5" x14ac:dyDescent="0.25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2:13" ht="12.5" x14ac:dyDescent="0.25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2:13" ht="12.5" x14ac:dyDescent="0.25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2:13" ht="12.5" x14ac:dyDescent="0.25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2:13" ht="12.5" x14ac:dyDescent="0.25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2:13" ht="12.5" x14ac:dyDescent="0.25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2:13" ht="12.5" x14ac:dyDescent="0.25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2:13" ht="12.5" x14ac:dyDescent="0.2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2:13" ht="12.5" x14ac:dyDescent="0.25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2:13" ht="12.5" x14ac:dyDescent="0.25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2:13" ht="12.5" x14ac:dyDescent="0.25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2:13" ht="12.5" x14ac:dyDescent="0.25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2:13" ht="12.5" x14ac:dyDescent="0.25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2:13" ht="12.5" x14ac:dyDescent="0.25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2:13" ht="12.5" x14ac:dyDescent="0.25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2:13" ht="12.5" x14ac:dyDescent="0.25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2:13" ht="12.5" x14ac:dyDescent="0.25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2:13" ht="12.5" x14ac:dyDescent="0.2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2:13" ht="12.5" x14ac:dyDescent="0.25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2:13" ht="12.5" x14ac:dyDescent="0.25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2:13" ht="12.5" x14ac:dyDescent="0.25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2:13" ht="12.5" x14ac:dyDescent="0.25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2:13" ht="12.5" x14ac:dyDescent="0.25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2:13" ht="12.5" x14ac:dyDescent="0.25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2:13" ht="12.5" x14ac:dyDescent="0.25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2:13" ht="12.5" x14ac:dyDescent="0.25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2:13" ht="12.5" x14ac:dyDescent="0.25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2:13" ht="12.5" x14ac:dyDescent="0.2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2:13" ht="12.5" x14ac:dyDescent="0.25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2:13" ht="12.5" x14ac:dyDescent="0.25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2:13" ht="12.5" x14ac:dyDescent="0.25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2:13" ht="12.5" x14ac:dyDescent="0.25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2:13" ht="12.5" x14ac:dyDescent="0.25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2:13" ht="12.5" x14ac:dyDescent="0.25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2:13" ht="12.5" x14ac:dyDescent="0.25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2:13" ht="12.5" x14ac:dyDescent="0.25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2:13" ht="12.5" x14ac:dyDescent="0.25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2:13" ht="12.5" x14ac:dyDescent="0.2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2:13" ht="12.5" x14ac:dyDescent="0.25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2:13" ht="12.5" x14ac:dyDescent="0.25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2:13" ht="12.5" x14ac:dyDescent="0.25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2:13" ht="12.5" x14ac:dyDescent="0.25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2:13" ht="12.5" x14ac:dyDescent="0.25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2:13" ht="12.5" x14ac:dyDescent="0.25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2:13" ht="12.5" x14ac:dyDescent="0.25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2:13" ht="12.5" x14ac:dyDescent="0.25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2:13" ht="12.5" x14ac:dyDescent="0.25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2:13" ht="12.5" x14ac:dyDescent="0.2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2:13" ht="12.5" x14ac:dyDescent="0.25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2:13" ht="12.5" x14ac:dyDescent="0.25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2:13" ht="12.5" x14ac:dyDescent="0.25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2:13" ht="12.5" x14ac:dyDescent="0.25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2:13" ht="12.5" x14ac:dyDescent="0.25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2:13" ht="12.5" x14ac:dyDescent="0.25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2:13" ht="12.5" x14ac:dyDescent="0.25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2:13" ht="12.5" x14ac:dyDescent="0.25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2:13" ht="12.5" x14ac:dyDescent="0.25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2:13" ht="12.5" x14ac:dyDescent="0.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2:13" ht="12.5" x14ac:dyDescent="0.25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2:13" ht="12.5" x14ac:dyDescent="0.25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2:13" ht="12.5" x14ac:dyDescent="0.25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2:13" ht="12.5" x14ac:dyDescent="0.25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2:13" ht="12.5" x14ac:dyDescent="0.25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2:13" ht="12.5" x14ac:dyDescent="0.25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2:13" ht="12.5" x14ac:dyDescent="0.25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2:13" ht="12.5" x14ac:dyDescent="0.25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2:13" ht="12.5" x14ac:dyDescent="0.25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2:13" ht="12.5" x14ac:dyDescent="0.2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2:13" ht="12.5" x14ac:dyDescent="0.25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2:13" ht="12.5" x14ac:dyDescent="0.25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2:13" ht="12.5" x14ac:dyDescent="0.25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2:13" ht="12.5" x14ac:dyDescent="0.25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2:13" ht="12.5" x14ac:dyDescent="0.25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2:13" ht="12.5" x14ac:dyDescent="0.25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2:13" ht="12.5" x14ac:dyDescent="0.25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2:13" ht="12.5" x14ac:dyDescent="0.25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2:13" ht="12.5" x14ac:dyDescent="0.25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2:13" ht="12.5" x14ac:dyDescent="0.2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2:13" ht="12.5" x14ac:dyDescent="0.25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2:13" ht="12.5" x14ac:dyDescent="0.25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2:13" ht="12.5" x14ac:dyDescent="0.25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2:13" ht="12.5" x14ac:dyDescent="0.25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2:13" ht="12.5" x14ac:dyDescent="0.25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2:13" ht="12.5" x14ac:dyDescent="0.25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2:13" ht="12.5" x14ac:dyDescent="0.25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2:13" ht="12.5" x14ac:dyDescent="0.25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2:13" ht="12.5" x14ac:dyDescent="0.25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2:13" ht="12.5" x14ac:dyDescent="0.2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2:13" ht="12.5" x14ac:dyDescent="0.25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2:13" ht="12.5" x14ac:dyDescent="0.25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2:13" ht="12.5" x14ac:dyDescent="0.25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2:13" ht="12.5" x14ac:dyDescent="0.25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2:13" ht="12.5" x14ac:dyDescent="0.25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2:13" ht="12.5" x14ac:dyDescent="0.25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2:13" ht="12.5" x14ac:dyDescent="0.25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2:13" ht="12.5" x14ac:dyDescent="0.25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2:13" ht="12.5" x14ac:dyDescent="0.25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2:13" ht="12.5" x14ac:dyDescent="0.2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2:13" ht="12.5" x14ac:dyDescent="0.25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2:13" ht="12.5" x14ac:dyDescent="0.25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2:13" ht="12.5" x14ac:dyDescent="0.25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2:13" ht="12.5" x14ac:dyDescent="0.25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2:13" ht="12.5" x14ac:dyDescent="0.25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2:13" ht="12.5" x14ac:dyDescent="0.25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2:13" ht="12.5" x14ac:dyDescent="0.25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2:13" ht="12.5" x14ac:dyDescent="0.25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2:13" ht="12.5" x14ac:dyDescent="0.25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2:13" ht="12.5" x14ac:dyDescent="0.2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2:13" ht="12.5" x14ac:dyDescent="0.25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2:13" ht="12.5" x14ac:dyDescent="0.25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2:13" ht="12.5" x14ac:dyDescent="0.25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2:13" ht="12.5" x14ac:dyDescent="0.25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2:13" ht="12.5" x14ac:dyDescent="0.25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2:13" ht="12.5" x14ac:dyDescent="0.25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2:13" ht="12.5" x14ac:dyDescent="0.25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2:13" ht="12.5" x14ac:dyDescent="0.25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2:13" ht="12.5" x14ac:dyDescent="0.25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2:13" ht="12.5" x14ac:dyDescent="0.2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2:13" ht="12.5" x14ac:dyDescent="0.25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2:13" ht="12.5" x14ac:dyDescent="0.25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2:13" ht="12.5" x14ac:dyDescent="0.25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2:13" ht="12.5" x14ac:dyDescent="0.25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2:13" ht="12.5" x14ac:dyDescent="0.25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2:13" ht="12.5" x14ac:dyDescent="0.25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2:13" ht="12.5" x14ac:dyDescent="0.25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2:13" ht="12.5" x14ac:dyDescent="0.25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2:13" ht="12.5" x14ac:dyDescent="0.25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2:13" ht="12.5" x14ac:dyDescent="0.2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2:13" ht="12.5" x14ac:dyDescent="0.25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2:13" ht="12.5" x14ac:dyDescent="0.25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2:13" ht="12.5" x14ac:dyDescent="0.25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2:13" ht="12.5" x14ac:dyDescent="0.25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2:13" ht="12.5" x14ac:dyDescent="0.25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2:13" ht="12.5" x14ac:dyDescent="0.25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2:13" ht="12.5" x14ac:dyDescent="0.25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2:13" ht="12.5" x14ac:dyDescent="0.25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2:13" ht="12.5" x14ac:dyDescent="0.25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2:13" ht="12.5" x14ac:dyDescent="0.2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2:13" ht="12.5" x14ac:dyDescent="0.25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2:13" ht="12.5" x14ac:dyDescent="0.25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2:13" ht="12.5" x14ac:dyDescent="0.25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2:13" ht="12.5" x14ac:dyDescent="0.25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2:13" ht="12.5" x14ac:dyDescent="0.25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2:13" ht="12.5" x14ac:dyDescent="0.25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2:13" ht="12.5" x14ac:dyDescent="0.25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2:13" ht="12.5" x14ac:dyDescent="0.25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2:13" ht="12.5" x14ac:dyDescent="0.25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2:13" ht="12.5" x14ac:dyDescent="0.2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2:13" ht="12.5" x14ac:dyDescent="0.25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2:13" ht="12.5" x14ac:dyDescent="0.25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2:13" ht="12.5" x14ac:dyDescent="0.25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2:13" ht="12.5" x14ac:dyDescent="0.25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2:13" ht="12.5" x14ac:dyDescent="0.25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2:13" ht="12.5" x14ac:dyDescent="0.25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2:13" ht="12.5" x14ac:dyDescent="0.25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2:13" ht="12.5" x14ac:dyDescent="0.25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2:13" ht="12.5" x14ac:dyDescent="0.25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2:13" ht="12.5" x14ac:dyDescent="0.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2:13" ht="12.5" x14ac:dyDescent="0.25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2:13" ht="12.5" x14ac:dyDescent="0.25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2:13" ht="12.5" x14ac:dyDescent="0.25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2:13" ht="12.5" x14ac:dyDescent="0.25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2:13" ht="12.5" x14ac:dyDescent="0.25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2:13" ht="12.5" x14ac:dyDescent="0.25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2:13" ht="12.5" x14ac:dyDescent="0.25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2:13" ht="12.5" x14ac:dyDescent="0.25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2:13" ht="12.5" x14ac:dyDescent="0.25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2:13" ht="12.5" x14ac:dyDescent="0.2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2:13" ht="12.5" x14ac:dyDescent="0.25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2:13" ht="12.5" x14ac:dyDescent="0.25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2:13" ht="12.5" x14ac:dyDescent="0.25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2:13" ht="12.5" x14ac:dyDescent="0.25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2:13" ht="12.5" x14ac:dyDescent="0.25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2:13" ht="12.5" x14ac:dyDescent="0.25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2:13" ht="12.5" x14ac:dyDescent="0.25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2:13" ht="12.5" x14ac:dyDescent="0.25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2:13" ht="12.5" x14ac:dyDescent="0.25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2:13" ht="12.5" x14ac:dyDescent="0.2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2:13" ht="12.5" x14ac:dyDescent="0.25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2:13" ht="12.5" x14ac:dyDescent="0.25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2:13" ht="12.5" x14ac:dyDescent="0.25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2:13" ht="12.5" x14ac:dyDescent="0.25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2:13" ht="12.5" x14ac:dyDescent="0.25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2:13" ht="12.5" x14ac:dyDescent="0.25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2:13" ht="12.5" x14ac:dyDescent="0.25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2:13" ht="12.5" x14ac:dyDescent="0.25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2:13" ht="12.5" x14ac:dyDescent="0.25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2:13" ht="12.5" x14ac:dyDescent="0.2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2:13" ht="12.5" x14ac:dyDescent="0.25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2:13" ht="12.5" x14ac:dyDescent="0.25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2:13" ht="12.5" x14ac:dyDescent="0.25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2:13" ht="12.5" x14ac:dyDescent="0.25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2:13" ht="12.5" x14ac:dyDescent="0.25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2:13" ht="12.5" x14ac:dyDescent="0.25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2:13" ht="12.5" x14ac:dyDescent="0.25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2:13" ht="12.5" x14ac:dyDescent="0.25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2:13" ht="12.5" x14ac:dyDescent="0.25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2:13" ht="12.5" x14ac:dyDescent="0.2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2:13" ht="12.5" x14ac:dyDescent="0.25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2:13" ht="12.5" x14ac:dyDescent="0.25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2:13" ht="12.5" x14ac:dyDescent="0.25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2:13" ht="12.5" x14ac:dyDescent="0.25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2:13" ht="12.5" x14ac:dyDescent="0.25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2:13" ht="12.5" x14ac:dyDescent="0.25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2:13" ht="12.5" x14ac:dyDescent="0.25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2:13" ht="12.5" x14ac:dyDescent="0.25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2:13" ht="12.5" x14ac:dyDescent="0.25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2:13" ht="12.5" x14ac:dyDescent="0.2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2:13" ht="12.5" x14ac:dyDescent="0.25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2:13" ht="12.5" x14ac:dyDescent="0.25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2:13" ht="12.5" x14ac:dyDescent="0.25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2:13" ht="12.5" x14ac:dyDescent="0.25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2:13" ht="12.5" x14ac:dyDescent="0.25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2:13" ht="12.5" x14ac:dyDescent="0.25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2:13" ht="12.5" x14ac:dyDescent="0.25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2:13" ht="12.5" x14ac:dyDescent="0.25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2:13" ht="12.5" x14ac:dyDescent="0.25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2:13" ht="12.5" x14ac:dyDescent="0.2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2:13" ht="12.5" x14ac:dyDescent="0.25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2:13" ht="12.5" x14ac:dyDescent="0.25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2:13" ht="12.5" x14ac:dyDescent="0.25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2:13" ht="12.5" x14ac:dyDescent="0.25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2:13" ht="12.5" x14ac:dyDescent="0.25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2:13" ht="12.5" x14ac:dyDescent="0.25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2:13" ht="12.5" x14ac:dyDescent="0.25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2:13" ht="12.5" x14ac:dyDescent="0.25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2:13" ht="12.5" x14ac:dyDescent="0.25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2:13" ht="12.5" x14ac:dyDescent="0.2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2:13" ht="12.5" x14ac:dyDescent="0.25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2:13" ht="12.5" x14ac:dyDescent="0.25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2:13" ht="12.5" x14ac:dyDescent="0.25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2:13" ht="12.5" x14ac:dyDescent="0.25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2:13" ht="12.5" x14ac:dyDescent="0.25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2:13" ht="12.5" x14ac:dyDescent="0.25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2:13" ht="12.5" x14ac:dyDescent="0.25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2:13" ht="12.5" x14ac:dyDescent="0.25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2:13" ht="12.5" x14ac:dyDescent="0.25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2:13" ht="12.5" x14ac:dyDescent="0.2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2:13" ht="12.5" x14ac:dyDescent="0.25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2:13" ht="12.5" x14ac:dyDescent="0.25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2:13" ht="12.5" x14ac:dyDescent="0.25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2:13" ht="12.5" x14ac:dyDescent="0.25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2:13" ht="12.5" x14ac:dyDescent="0.25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2:13" ht="12.5" x14ac:dyDescent="0.25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2:13" ht="12.5" x14ac:dyDescent="0.25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2:13" ht="12.5" x14ac:dyDescent="0.25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2:13" ht="12.5" x14ac:dyDescent="0.25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2:13" ht="12.5" x14ac:dyDescent="0.2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2:13" ht="12.5" x14ac:dyDescent="0.25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2:13" ht="12.5" x14ac:dyDescent="0.25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2:13" ht="12.5" x14ac:dyDescent="0.25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2:13" ht="12.5" x14ac:dyDescent="0.25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2:13" ht="12.5" x14ac:dyDescent="0.25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2:13" ht="12.5" x14ac:dyDescent="0.25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2:13" ht="12.5" x14ac:dyDescent="0.25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2:13" ht="12.5" x14ac:dyDescent="0.25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2:13" ht="12.5" x14ac:dyDescent="0.25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2:13" ht="12.5" x14ac:dyDescent="0.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2:13" ht="12.5" x14ac:dyDescent="0.25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2:13" ht="12.5" x14ac:dyDescent="0.25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2:13" ht="12.5" x14ac:dyDescent="0.25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2:13" ht="12.5" x14ac:dyDescent="0.25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2:13" ht="12.5" x14ac:dyDescent="0.25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2:13" ht="12.5" x14ac:dyDescent="0.25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2:13" ht="12.5" x14ac:dyDescent="0.25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2:13" ht="12.5" x14ac:dyDescent="0.25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2:13" ht="12.5" x14ac:dyDescent="0.25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2:13" ht="12.5" x14ac:dyDescent="0.2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2:13" ht="12.5" x14ac:dyDescent="0.25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2:13" ht="12.5" x14ac:dyDescent="0.25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2:13" ht="12.5" x14ac:dyDescent="0.25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2:13" ht="12.5" x14ac:dyDescent="0.25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2:13" ht="12.5" x14ac:dyDescent="0.25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2:13" ht="12.5" x14ac:dyDescent="0.25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2:13" ht="12.5" x14ac:dyDescent="0.25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2:13" ht="12.5" x14ac:dyDescent="0.25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2:13" ht="12.5" x14ac:dyDescent="0.25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2:13" ht="12.5" x14ac:dyDescent="0.2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2:13" ht="12.5" x14ac:dyDescent="0.25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2:13" ht="12.5" x14ac:dyDescent="0.25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2:13" ht="12.5" x14ac:dyDescent="0.25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2:13" ht="12.5" x14ac:dyDescent="0.25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2:13" ht="12.5" x14ac:dyDescent="0.25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2:13" ht="12.5" x14ac:dyDescent="0.25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2:13" ht="12.5" x14ac:dyDescent="0.25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2:13" ht="12.5" x14ac:dyDescent="0.25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2:13" ht="12.5" x14ac:dyDescent="0.25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2:13" ht="12.5" x14ac:dyDescent="0.2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2:13" ht="12.5" x14ac:dyDescent="0.25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2:13" ht="12.5" x14ac:dyDescent="0.25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2:13" ht="12.5" x14ac:dyDescent="0.25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2:13" ht="12.5" x14ac:dyDescent="0.25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2:13" ht="12.5" x14ac:dyDescent="0.25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2:13" ht="12.5" x14ac:dyDescent="0.25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2:13" ht="12.5" x14ac:dyDescent="0.25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2:13" ht="12.5" x14ac:dyDescent="0.25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2:13" ht="12.5" x14ac:dyDescent="0.25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2:13" ht="12.5" x14ac:dyDescent="0.2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2:13" ht="12.5" x14ac:dyDescent="0.25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2:13" ht="12.5" x14ac:dyDescent="0.25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2:13" ht="12.5" x14ac:dyDescent="0.25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2:13" ht="12.5" x14ac:dyDescent="0.25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2:13" ht="12.5" x14ac:dyDescent="0.25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2:13" ht="12.5" x14ac:dyDescent="0.25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2:13" ht="12.5" x14ac:dyDescent="0.25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2:13" ht="12.5" x14ac:dyDescent="0.25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2:13" ht="12.5" x14ac:dyDescent="0.25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2:13" ht="12.5" x14ac:dyDescent="0.2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2:13" ht="12.5" x14ac:dyDescent="0.25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2:13" ht="12.5" x14ac:dyDescent="0.25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2:13" ht="12.5" x14ac:dyDescent="0.25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2:13" ht="12.5" x14ac:dyDescent="0.25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2:13" ht="12.5" x14ac:dyDescent="0.25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2:13" ht="12.5" x14ac:dyDescent="0.25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2:13" ht="12.5" x14ac:dyDescent="0.25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2:13" ht="12.5" x14ac:dyDescent="0.25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2:13" ht="12.5" x14ac:dyDescent="0.25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2:13" ht="12.5" x14ac:dyDescent="0.2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2:13" ht="12.5" x14ac:dyDescent="0.25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2:13" ht="12.5" x14ac:dyDescent="0.25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2:13" ht="12.5" x14ac:dyDescent="0.25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2:13" ht="12.5" x14ac:dyDescent="0.25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2:13" ht="12.5" x14ac:dyDescent="0.25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2:13" ht="12.5" x14ac:dyDescent="0.25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2:13" ht="12.5" x14ac:dyDescent="0.25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2:13" ht="12.5" x14ac:dyDescent="0.25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2:13" ht="12.5" x14ac:dyDescent="0.25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2:13" ht="12.5" x14ac:dyDescent="0.2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2:13" ht="12.5" x14ac:dyDescent="0.25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2:13" ht="12.5" x14ac:dyDescent="0.25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2:13" ht="12.5" x14ac:dyDescent="0.25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2:13" ht="12.5" x14ac:dyDescent="0.25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2:13" ht="12.5" x14ac:dyDescent="0.25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2:13" ht="12.5" x14ac:dyDescent="0.25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2:13" ht="12.5" x14ac:dyDescent="0.25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2:13" ht="12.5" x14ac:dyDescent="0.25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2:13" ht="12.5" x14ac:dyDescent="0.25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2:13" ht="12.5" x14ac:dyDescent="0.2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2:13" ht="12.5" x14ac:dyDescent="0.25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2:13" ht="12.5" x14ac:dyDescent="0.25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2:13" ht="12.5" x14ac:dyDescent="0.25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2:13" ht="12.5" x14ac:dyDescent="0.25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2:13" ht="12.5" x14ac:dyDescent="0.25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2:13" ht="12.5" x14ac:dyDescent="0.25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2:13" ht="12.5" x14ac:dyDescent="0.25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2:13" ht="12.5" x14ac:dyDescent="0.25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2:13" ht="12.5" x14ac:dyDescent="0.25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2:13" ht="12.5" x14ac:dyDescent="0.2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2:13" ht="12.5" x14ac:dyDescent="0.25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2:13" ht="12.5" x14ac:dyDescent="0.25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2:13" ht="12.5" x14ac:dyDescent="0.25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spans="2:13" ht="12.5" x14ac:dyDescent="0.25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pans="2:13" ht="12.5" x14ac:dyDescent="0.25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pans="2:13" ht="12.5" x14ac:dyDescent="0.25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pans="2:13" ht="12.5" x14ac:dyDescent="0.25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2:13" ht="12.5" x14ac:dyDescent="0.25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2:13" ht="12.5" x14ac:dyDescent="0.25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2:13" ht="12.5" x14ac:dyDescent="0.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2:13" ht="12.5" x14ac:dyDescent="0.25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2:13" ht="12.5" x14ac:dyDescent="0.25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2:13" ht="12.5" x14ac:dyDescent="0.25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pans="2:13" ht="12.5" x14ac:dyDescent="0.25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pans="2:13" ht="12.5" x14ac:dyDescent="0.25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2:13" ht="12.5" x14ac:dyDescent="0.25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pans="2:13" ht="12.5" x14ac:dyDescent="0.25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pans="2:13" ht="12.5" x14ac:dyDescent="0.25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pans="2:13" ht="12.5" x14ac:dyDescent="0.25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2:13" ht="12.5" x14ac:dyDescent="0.2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2:13" ht="12.5" x14ac:dyDescent="0.25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pans="2:13" ht="12.5" x14ac:dyDescent="0.25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2:13" ht="12.5" x14ac:dyDescent="0.25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pans="2:13" ht="12.5" x14ac:dyDescent="0.25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2:13" ht="12.5" x14ac:dyDescent="0.25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2:13" ht="12.5" x14ac:dyDescent="0.25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pans="2:13" ht="12.5" x14ac:dyDescent="0.25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2:13" ht="12.5" x14ac:dyDescent="0.25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2:13" ht="12.5" x14ac:dyDescent="0.25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2:13" ht="12.5" x14ac:dyDescent="0.2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pans="2:13" ht="12.5" x14ac:dyDescent="0.25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2:13" ht="12.5" x14ac:dyDescent="0.25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pans="2:13" ht="12.5" x14ac:dyDescent="0.25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pans="2:13" ht="12.5" x14ac:dyDescent="0.25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2:13" ht="12.5" x14ac:dyDescent="0.25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2:13" ht="12.5" x14ac:dyDescent="0.25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2:13" ht="12.5" x14ac:dyDescent="0.25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2:13" ht="12.5" x14ac:dyDescent="0.25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pans="2:13" ht="12.5" x14ac:dyDescent="0.25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2:13" ht="12.5" x14ac:dyDescent="0.2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2:13" ht="12.5" x14ac:dyDescent="0.25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spans="2:13" ht="12.5" x14ac:dyDescent="0.25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pans="2:13" ht="12.5" x14ac:dyDescent="0.25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2:13" ht="12.5" x14ac:dyDescent="0.25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pans="2:13" ht="12.5" x14ac:dyDescent="0.25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pans="2:13" ht="12.5" x14ac:dyDescent="0.25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2:13" ht="12.5" x14ac:dyDescent="0.25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pans="2:13" ht="12.5" x14ac:dyDescent="0.25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pans="2:13" ht="12.5" x14ac:dyDescent="0.25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pans="2:13" ht="12.5" x14ac:dyDescent="0.2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pans="2:13" ht="12.5" x14ac:dyDescent="0.25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2:13" ht="12.5" x14ac:dyDescent="0.25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2:13" ht="12.5" x14ac:dyDescent="0.25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pans="2:13" ht="12.5" x14ac:dyDescent="0.25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spans="2:13" ht="12.5" x14ac:dyDescent="0.25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pans="2:13" ht="12.5" x14ac:dyDescent="0.25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2:13" ht="12.5" x14ac:dyDescent="0.25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2:13" ht="12.5" x14ac:dyDescent="0.25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2:13" ht="12.5" x14ac:dyDescent="0.25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pans="2:13" ht="12.5" x14ac:dyDescent="0.2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pans="2:13" ht="12.5" x14ac:dyDescent="0.25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pans="2:13" ht="12.5" x14ac:dyDescent="0.25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2:13" ht="12.5" x14ac:dyDescent="0.25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pans="2:13" ht="12.5" x14ac:dyDescent="0.25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2:13" ht="12.5" x14ac:dyDescent="0.25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pans="2:13" ht="12.5" x14ac:dyDescent="0.25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2:13" ht="12.5" x14ac:dyDescent="0.25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2:13" ht="12.5" x14ac:dyDescent="0.25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pans="2:13" ht="12.5" x14ac:dyDescent="0.25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pans="2:13" ht="12.5" x14ac:dyDescent="0.2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pans="2:13" ht="12.5" x14ac:dyDescent="0.25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spans="2:13" ht="12.5" x14ac:dyDescent="0.25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pans="2:13" ht="12.5" x14ac:dyDescent="0.25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pans="2:13" ht="12.5" x14ac:dyDescent="0.25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pans="2:13" ht="12.5" x14ac:dyDescent="0.25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pans="2:13" ht="12.5" x14ac:dyDescent="0.25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pans="2:13" ht="12.5" x14ac:dyDescent="0.25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pans="2:13" ht="12.5" x14ac:dyDescent="0.25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pans="2:13" ht="12.5" x14ac:dyDescent="0.25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pans="2:13" ht="12.5" x14ac:dyDescent="0.2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pans="2:13" ht="12.5" x14ac:dyDescent="0.25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pans="2:13" ht="12.5" x14ac:dyDescent="0.25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pans="2:13" ht="12.5" x14ac:dyDescent="0.25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pans="2:13" ht="12.5" x14ac:dyDescent="0.25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spans="2:13" ht="12.5" x14ac:dyDescent="0.25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pans="2:13" ht="12.5" x14ac:dyDescent="0.25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pans="2:13" ht="12.5" x14ac:dyDescent="0.25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pans="2:13" ht="12.5" x14ac:dyDescent="0.25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pans="2:13" ht="12.5" x14ac:dyDescent="0.25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spans="2:13" ht="12.5" x14ac:dyDescent="0.2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pans="2:13" ht="12.5" x14ac:dyDescent="0.25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2:13" ht="12.5" x14ac:dyDescent="0.25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2:13" ht="12.5" x14ac:dyDescent="0.25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pans="2:13" ht="12.5" x14ac:dyDescent="0.25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2:13" ht="12.5" x14ac:dyDescent="0.25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spans="2:13" ht="12.5" x14ac:dyDescent="0.25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2:13" ht="12.5" x14ac:dyDescent="0.25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pans="2:13" ht="12.5" x14ac:dyDescent="0.25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2:13" ht="12.5" x14ac:dyDescent="0.25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2:13" ht="12.5" x14ac:dyDescent="0.2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pans="2:13" ht="12.5" x14ac:dyDescent="0.25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pans="2:13" ht="12.5" x14ac:dyDescent="0.25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2:13" ht="12.5" x14ac:dyDescent="0.25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pans="2:13" ht="12.5" x14ac:dyDescent="0.25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2:13" ht="12.5" x14ac:dyDescent="0.25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spans="2:13" ht="12.5" x14ac:dyDescent="0.25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pans="2:13" ht="12.5" x14ac:dyDescent="0.25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pans="2:13" ht="12.5" x14ac:dyDescent="0.25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2:13" ht="12.5" x14ac:dyDescent="0.25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2:13" ht="12.5" x14ac:dyDescent="0.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2:13" ht="12.5" x14ac:dyDescent="0.25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2:13" ht="12.5" x14ac:dyDescent="0.25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pans="2:13" ht="12.5" x14ac:dyDescent="0.25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pans="2:13" ht="12.5" x14ac:dyDescent="0.25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pans="2:13" ht="12.5" x14ac:dyDescent="0.25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pans="2:13" ht="12.5" x14ac:dyDescent="0.25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pans="2:13" ht="12.5" x14ac:dyDescent="0.25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2:13" ht="12.5" x14ac:dyDescent="0.25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2:13" ht="12.5" x14ac:dyDescent="0.25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2:13" ht="12.5" x14ac:dyDescent="0.2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2:13" ht="12.5" x14ac:dyDescent="0.25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pans="2:13" ht="12.5" x14ac:dyDescent="0.25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spans="2:13" ht="12.5" x14ac:dyDescent="0.25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2:13" ht="12.5" x14ac:dyDescent="0.25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pans="2:13" ht="12.5" x14ac:dyDescent="0.25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2:13" ht="12.5" x14ac:dyDescent="0.25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pans="2:13" ht="12.5" x14ac:dyDescent="0.25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2:13" ht="12.5" x14ac:dyDescent="0.25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2:13" ht="12.5" x14ac:dyDescent="0.25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spans="2:13" ht="12.5" x14ac:dyDescent="0.2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2:13" ht="12.5" x14ac:dyDescent="0.25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2:13" ht="12.5" x14ac:dyDescent="0.25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2:13" ht="12.5" x14ac:dyDescent="0.25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pans="2:13" ht="12.5" x14ac:dyDescent="0.25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2:13" ht="12.5" x14ac:dyDescent="0.25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pans="2:13" ht="12.5" x14ac:dyDescent="0.25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pans="2:13" ht="12.5" x14ac:dyDescent="0.25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pans="2:13" ht="12.5" x14ac:dyDescent="0.25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2:13" ht="12.5" x14ac:dyDescent="0.25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2:13" ht="12.5" x14ac:dyDescent="0.2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2:13" ht="12.5" x14ac:dyDescent="0.25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2:13" ht="12.5" x14ac:dyDescent="0.25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spans="2:13" ht="12.5" x14ac:dyDescent="0.25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pans="2:13" ht="12.5" x14ac:dyDescent="0.25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2:13" ht="12.5" x14ac:dyDescent="0.25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pans="2:13" ht="12.5" x14ac:dyDescent="0.25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2:13" ht="12.5" x14ac:dyDescent="0.25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pans="2:13" ht="12.5" x14ac:dyDescent="0.25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2:13" ht="12.5" x14ac:dyDescent="0.25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2:13" ht="12.5" x14ac:dyDescent="0.2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pans="2:13" ht="12.5" x14ac:dyDescent="0.25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pans="2:13" ht="12.5" x14ac:dyDescent="0.25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pans="2:13" ht="12.5" x14ac:dyDescent="0.25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spans="2:13" ht="12.5" x14ac:dyDescent="0.25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spans="2:13" ht="12.5" x14ac:dyDescent="0.25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pans="2:13" ht="12.5" x14ac:dyDescent="0.25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pans="2:13" ht="12.5" x14ac:dyDescent="0.25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pans="2:13" ht="12.5" x14ac:dyDescent="0.25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spans="2:13" ht="12.5" x14ac:dyDescent="0.25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pans="2:13" ht="12.5" x14ac:dyDescent="0.2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pans="2:13" ht="12.5" x14ac:dyDescent="0.25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spans="2:13" ht="12.5" x14ac:dyDescent="0.25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spans="2:13" ht="12.5" x14ac:dyDescent="0.25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spans="2:13" ht="12.5" x14ac:dyDescent="0.25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spans="2:13" ht="12.5" x14ac:dyDescent="0.25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spans="2:13" ht="12.5" x14ac:dyDescent="0.25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spans="2:13" ht="12.5" x14ac:dyDescent="0.25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spans="2:13" ht="12.5" x14ac:dyDescent="0.25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spans="2:13" ht="12.5" x14ac:dyDescent="0.25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spans="2:13" ht="12.5" x14ac:dyDescent="0.2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spans="2:13" ht="12.5" x14ac:dyDescent="0.25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spans="2:13" ht="12.5" x14ac:dyDescent="0.25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spans="2:13" ht="12.5" x14ac:dyDescent="0.25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 spans="2:13" ht="12.5" x14ac:dyDescent="0.25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 spans="2:13" ht="12.5" x14ac:dyDescent="0.25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 spans="2:13" ht="12.5" x14ac:dyDescent="0.25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 spans="2:13" ht="12.5" x14ac:dyDescent="0.25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 spans="2:13" ht="12.5" x14ac:dyDescent="0.25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 spans="2:13" ht="12.5" x14ac:dyDescent="0.25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 spans="2:13" ht="12.5" x14ac:dyDescent="0.2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 spans="2:13" ht="12.5" x14ac:dyDescent="0.25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 spans="2:13" ht="12.5" x14ac:dyDescent="0.25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 spans="2:13" ht="12.5" x14ac:dyDescent="0.25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 spans="2:13" ht="12.5" x14ac:dyDescent="0.25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 spans="2:13" ht="12.5" x14ac:dyDescent="0.25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</sheetData>
  <phoneticPr fontId="2"/>
  <conditionalFormatting sqref="A2:B9 N2:N9">
    <cfRule type="expression" dxfId="11" priority="4">
      <formula>MOD(ROW()+1,2)</formula>
    </cfRule>
  </conditionalFormatting>
  <conditionalFormatting sqref="C2:F9">
    <cfRule type="expression" dxfId="10" priority="3">
      <formula>MOD(ROW()+1,2)</formula>
    </cfRule>
  </conditionalFormatting>
  <conditionalFormatting sqref="G2:H9">
    <cfRule type="expression" dxfId="9" priority="2">
      <formula>MOD(ROW()+1,2)</formula>
    </cfRule>
  </conditionalFormatting>
  <conditionalFormatting sqref="I2:M9">
    <cfRule type="expression" dxfId="8" priority="1">
      <formula>MOD(ROW()+1,2)</formula>
    </cfRule>
  </conditionalFormatting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8248A-A38D-46FB-8701-01DA7A5E2481}">
  <sheetPr>
    <tabColor rgb="FF00B0F0"/>
    <pageSetUpPr fitToPage="1"/>
  </sheetPr>
  <dimension ref="A1:N11"/>
  <sheetViews>
    <sheetView zoomScale="76" workbookViewId="0">
      <selection activeCell="H24" sqref="H24"/>
    </sheetView>
  </sheetViews>
  <sheetFormatPr defaultColWidth="10.6328125" defaultRowHeight="15" customHeight="1" x14ac:dyDescent="0.25"/>
  <cols>
    <col min="1" max="1" width="14.7265625" customWidth="1"/>
    <col min="2" max="2" width="7.7265625" customWidth="1"/>
    <col min="3" max="13" width="8.1796875" customWidth="1"/>
  </cols>
  <sheetData>
    <row r="1" spans="1:14" ht="15" customHeight="1" thickTop="1" thickBot="1" x14ac:dyDescent="0.3">
      <c r="A1" s="5" t="s">
        <v>27</v>
      </c>
      <c r="B1" s="6" t="s">
        <v>28</v>
      </c>
      <c r="C1" s="12" t="s">
        <v>29</v>
      </c>
      <c r="D1" s="13" t="s">
        <v>30</v>
      </c>
      <c r="E1" s="13" t="s">
        <v>31</v>
      </c>
      <c r="F1" s="13" t="s">
        <v>32</v>
      </c>
      <c r="G1" s="17" t="s">
        <v>33</v>
      </c>
      <c r="H1" s="17" t="s">
        <v>34</v>
      </c>
      <c r="I1" s="19" t="s">
        <v>35</v>
      </c>
      <c r="J1" s="19" t="s">
        <v>36</v>
      </c>
      <c r="K1" s="20" t="s">
        <v>37</v>
      </c>
      <c r="L1" s="19" t="s">
        <v>38</v>
      </c>
      <c r="M1" s="21" t="s">
        <v>39</v>
      </c>
      <c r="N1" s="7" t="s">
        <v>40</v>
      </c>
    </row>
    <row r="2" spans="1:14" ht="15" customHeight="1" thickBot="1" x14ac:dyDescent="0.3">
      <c r="A2" s="133" t="s">
        <v>41</v>
      </c>
      <c r="B2" s="134">
        <v>2.627314814814815E-3</v>
      </c>
      <c r="C2" s="135" t="s">
        <v>15</v>
      </c>
      <c r="D2" s="136" t="s">
        <v>15</v>
      </c>
      <c r="E2" s="136" t="s">
        <v>15</v>
      </c>
      <c r="F2" s="136" t="s">
        <v>15</v>
      </c>
      <c r="G2" s="137"/>
      <c r="H2" s="137"/>
      <c r="I2" s="114"/>
      <c r="J2" s="138" t="s">
        <v>15</v>
      </c>
      <c r="K2" s="138" t="s">
        <v>15</v>
      </c>
      <c r="L2" s="113"/>
      <c r="M2" s="139"/>
      <c r="N2" s="8">
        <f>COUNTIF(C2:M2,"◯")</f>
        <v>6</v>
      </c>
    </row>
    <row r="3" spans="1:14" ht="15" customHeight="1" thickBot="1" x14ac:dyDescent="0.3">
      <c r="A3" s="140" t="s">
        <v>42</v>
      </c>
      <c r="B3" s="141">
        <v>2.1296296296296298E-3</v>
      </c>
      <c r="C3" s="142"/>
      <c r="D3" s="143"/>
      <c r="E3" s="144" t="s">
        <v>15</v>
      </c>
      <c r="F3" s="162"/>
      <c r="G3" s="145" t="s">
        <v>15</v>
      </c>
      <c r="H3" s="146"/>
      <c r="I3" s="147"/>
      <c r="J3" s="147"/>
      <c r="K3" s="147"/>
      <c r="L3" s="160" t="s">
        <v>15</v>
      </c>
      <c r="M3" s="161"/>
      <c r="N3" s="8">
        <f t="shared" ref="N3:N9" si="0">COUNTIF(C3:M3,"◯")</f>
        <v>3</v>
      </c>
    </row>
    <row r="4" spans="1:14" ht="15" customHeight="1" x14ac:dyDescent="0.25">
      <c r="A4" s="9" t="s">
        <v>43</v>
      </c>
      <c r="B4" s="11">
        <v>2.1180555555555558E-3</v>
      </c>
      <c r="C4" s="14"/>
      <c r="D4" s="15"/>
      <c r="E4" s="16"/>
      <c r="F4" s="112" t="s">
        <v>44</v>
      </c>
      <c r="G4" s="18" t="s">
        <v>15</v>
      </c>
      <c r="H4" s="18" t="s">
        <v>15</v>
      </c>
      <c r="I4" s="22"/>
      <c r="J4" s="22"/>
      <c r="K4" s="22"/>
      <c r="L4" s="23" t="s">
        <v>15</v>
      </c>
      <c r="M4" s="24" t="s">
        <v>15</v>
      </c>
      <c r="N4" s="8">
        <f>COUNTIF(C4:M4,"◯")</f>
        <v>5</v>
      </c>
    </row>
    <row r="5" spans="1:14" ht="15" customHeight="1" thickBot="1" x14ac:dyDescent="0.3">
      <c r="A5" s="150" t="s">
        <v>45</v>
      </c>
      <c r="B5" s="151">
        <v>2.5115740740740741E-3</v>
      </c>
      <c r="C5" s="152" t="s">
        <v>15</v>
      </c>
      <c r="D5" s="153" t="s">
        <v>15</v>
      </c>
      <c r="E5" s="154"/>
      <c r="F5" s="154"/>
      <c r="G5" s="164"/>
      <c r="H5" s="164"/>
      <c r="I5" s="155" t="s">
        <v>15</v>
      </c>
      <c r="J5" s="155" t="s">
        <v>15</v>
      </c>
      <c r="K5" s="155" t="s">
        <v>15</v>
      </c>
      <c r="L5" s="156"/>
      <c r="M5" s="157"/>
      <c r="N5" s="8">
        <f>COUNTIF(C5:M5,"◯")</f>
        <v>5</v>
      </c>
    </row>
    <row r="6" spans="1:14" ht="15" customHeight="1" thickBot="1" x14ac:dyDescent="0.3">
      <c r="A6" s="140" t="s">
        <v>46</v>
      </c>
      <c r="B6" s="141">
        <v>2.1759259259259258E-3</v>
      </c>
      <c r="C6" s="158" t="s">
        <v>44</v>
      </c>
      <c r="D6" s="144" t="s">
        <v>15</v>
      </c>
      <c r="E6" s="144" t="s">
        <v>15</v>
      </c>
      <c r="F6" s="144" t="s">
        <v>15</v>
      </c>
      <c r="G6" s="163"/>
      <c r="H6" s="165"/>
      <c r="I6" s="148" t="s">
        <v>15</v>
      </c>
      <c r="J6" s="166"/>
      <c r="K6" s="166"/>
      <c r="L6" s="148" t="s">
        <v>15</v>
      </c>
      <c r="M6" s="149"/>
      <c r="N6" s="8">
        <f>COUNTIF(C6:M6,"◯")</f>
        <v>6</v>
      </c>
    </row>
    <row r="7" spans="1:14" ht="15" customHeight="1" thickBot="1" x14ac:dyDescent="0.3">
      <c r="A7" s="140" t="s">
        <v>47</v>
      </c>
      <c r="B7" s="141">
        <v>1.8981481481481482E-3</v>
      </c>
      <c r="C7" s="142"/>
      <c r="D7" s="162"/>
      <c r="E7" s="144"/>
      <c r="F7" s="144" t="s">
        <v>15</v>
      </c>
      <c r="G7" s="145" t="s">
        <v>15</v>
      </c>
      <c r="H7" s="145" t="s">
        <v>15</v>
      </c>
      <c r="I7" s="166"/>
      <c r="J7" s="160" t="s">
        <v>15</v>
      </c>
      <c r="K7" s="160" t="s">
        <v>15</v>
      </c>
      <c r="L7" s="148" t="s">
        <v>15</v>
      </c>
      <c r="M7" s="159" t="s">
        <v>15</v>
      </c>
      <c r="N7" s="8">
        <f>COUNTIF(C7:M7,"◯")</f>
        <v>7</v>
      </c>
    </row>
    <row r="8" spans="1:14" ht="15" customHeight="1" x14ac:dyDescent="0.25">
      <c r="A8" s="182" t="s">
        <v>54</v>
      </c>
      <c r="B8" s="183">
        <v>1.8634259259259259E-3</v>
      </c>
      <c r="C8" s="184" t="s">
        <v>15</v>
      </c>
      <c r="D8" s="185" t="s">
        <v>15</v>
      </c>
      <c r="E8" s="186" t="s">
        <v>15</v>
      </c>
      <c r="F8" s="187"/>
      <c r="G8" s="188"/>
      <c r="H8" s="189" t="s">
        <v>15</v>
      </c>
      <c r="I8" s="190"/>
      <c r="J8" s="191"/>
      <c r="K8" s="191"/>
      <c r="L8" s="191"/>
      <c r="M8" s="192" t="s">
        <v>15</v>
      </c>
      <c r="N8" s="8">
        <f>COUNTIF(C8:M8,"◯")</f>
        <v>5</v>
      </c>
    </row>
    <row r="9" spans="1:14" ht="15" customHeight="1" thickBot="1" x14ac:dyDescent="0.3">
      <c r="A9" s="175" t="s">
        <v>55</v>
      </c>
      <c r="B9" s="176">
        <v>1.5625000000000001E-3</v>
      </c>
      <c r="C9" s="177" t="s">
        <v>44</v>
      </c>
      <c r="D9" s="178" t="s">
        <v>44</v>
      </c>
      <c r="E9" s="178" t="s">
        <v>44</v>
      </c>
      <c r="F9" s="178" t="s">
        <v>44</v>
      </c>
      <c r="G9" s="179" t="s">
        <v>44</v>
      </c>
      <c r="H9" s="179" t="s">
        <v>44</v>
      </c>
      <c r="I9" s="180" t="s">
        <v>44</v>
      </c>
      <c r="J9" s="180" t="s">
        <v>44</v>
      </c>
      <c r="K9" s="180" t="s">
        <v>44</v>
      </c>
      <c r="L9" s="180" t="s">
        <v>44</v>
      </c>
      <c r="M9" s="181" t="s">
        <v>44</v>
      </c>
      <c r="N9" s="167">
        <f t="shared" si="0"/>
        <v>11</v>
      </c>
    </row>
    <row r="10" spans="1:14" ht="15" customHeight="1" thickBot="1" x14ac:dyDescent="0.3">
      <c r="A10" s="168" t="s">
        <v>48</v>
      </c>
      <c r="B10" s="169">
        <f>SUM(B2:B9)</f>
        <v>1.6886574074074075E-2</v>
      </c>
      <c r="C10" s="170">
        <f t="shared" ref="C10:M10" si="1">COUNTIF(C$1:C$9,"◯")</f>
        <v>5</v>
      </c>
      <c r="D10" s="171">
        <f t="shared" si="1"/>
        <v>5</v>
      </c>
      <c r="E10" s="171">
        <f t="shared" si="1"/>
        <v>5</v>
      </c>
      <c r="F10" s="171">
        <f t="shared" si="1"/>
        <v>5</v>
      </c>
      <c r="G10" s="172">
        <f t="shared" si="1"/>
        <v>4</v>
      </c>
      <c r="H10" s="172">
        <f t="shared" si="1"/>
        <v>4</v>
      </c>
      <c r="I10" s="173">
        <f t="shared" si="1"/>
        <v>3</v>
      </c>
      <c r="J10" s="173">
        <f t="shared" si="1"/>
        <v>4</v>
      </c>
      <c r="K10" s="173">
        <f t="shared" si="1"/>
        <v>4</v>
      </c>
      <c r="L10" s="173">
        <f t="shared" si="1"/>
        <v>5</v>
      </c>
      <c r="M10" s="174">
        <f t="shared" si="1"/>
        <v>4</v>
      </c>
      <c r="N10" s="10"/>
    </row>
    <row r="11" spans="1:14" ht="15" customHeight="1" thickTop="1" x14ac:dyDescent="0.25"/>
  </sheetData>
  <phoneticPr fontId="2"/>
  <conditionalFormatting sqref="A1:B9 N1:N9">
    <cfRule type="expression" dxfId="7" priority="4">
      <formula>MOD(ROW()+1,2)</formula>
    </cfRule>
  </conditionalFormatting>
  <conditionalFormatting sqref="C2:F9">
    <cfRule type="expression" dxfId="6" priority="3">
      <formula>MOD(ROW()+1,2)</formula>
    </cfRule>
  </conditionalFormatting>
  <conditionalFormatting sqref="G2:H9">
    <cfRule type="expression" dxfId="5" priority="2">
      <formula>MOD(ROW()+1,2)</formula>
    </cfRule>
  </conditionalFormatting>
  <conditionalFormatting sqref="I2:M9">
    <cfRule type="expression" dxfId="4" priority="1">
      <formula>MOD(ROW()+1,2)</formula>
    </cfRule>
  </conditionalFormatting>
  <pageMargins left="0.70866141732283472" right="0.70866141732283472" top="0.74803149606299213" bottom="0.74803149606299213" header="0.31496062992125984" footer="0.31496062992125984"/>
  <pageSetup scale="9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4CE9-9F4F-4503-A9BB-D28B539D091A}">
  <sheetPr>
    <tabColor rgb="FF00B050"/>
    <pageSetUpPr fitToPage="1"/>
  </sheetPr>
  <dimension ref="A1:O10"/>
  <sheetViews>
    <sheetView tabSelected="1" zoomScale="110" workbookViewId="0">
      <selection activeCell="A5" sqref="A5"/>
    </sheetView>
  </sheetViews>
  <sheetFormatPr defaultRowHeight="12.5" x14ac:dyDescent="0.25"/>
  <cols>
    <col min="1" max="1" width="15.7265625" customWidth="1"/>
    <col min="2" max="2" width="7.36328125" style="78" customWidth="1"/>
    <col min="8" max="8" width="8.7265625" hidden="1" customWidth="1"/>
  </cols>
  <sheetData>
    <row r="1" spans="1:15" ht="15" customHeight="1" thickTop="1" thickBot="1" x14ac:dyDescent="0.3">
      <c r="A1" s="25" t="s">
        <v>0</v>
      </c>
      <c r="B1" s="75" t="s">
        <v>23</v>
      </c>
      <c r="C1" s="28" t="s">
        <v>29</v>
      </c>
      <c r="D1" s="13" t="s">
        <v>30</v>
      </c>
      <c r="E1" s="13" t="s">
        <v>31</v>
      </c>
      <c r="F1" s="13" t="s">
        <v>32</v>
      </c>
      <c r="G1" s="17" t="s">
        <v>33</v>
      </c>
      <c r="H1" s="17" t="s">
        <v>52</v>
      </c>
      <c r="I1" s="17" t="s">
        <v>34</v>
      </c>
      <c r="J1" s="19" t="s">
        <v>35</v>
      </c>
      <c r="K1" s="19" t="s">
        <v>36</v>
      </c>
      <c r="L1" s="20" t="s">
        <v>37</v>
      </c>
      <c r="M1" s="19" t="s">
        <v>38</v>
      </c>
      <c r="N1" s="21" t="s">
        <v>39</v>
      </c>
      <c r="O1" s="7" t="s">
        <v>40</v>
      </c>
    </row>
    <row r="2" spans="1:15" ht="15" customHeight="1" thickBot="1" x14ac:dyDescent="0.3">
      <c r="A2" s="198" t="s">
        <v>26</v>
      </c>
      <c r="B2" s="193">
        <v>2.1180555555555558E-3</v>
      </c>
      <c r="C2" s="209"/>
      <c r="D2" s="194"/>
      <c r="E2" s="194"/>
      <c r="F2" s="195" t="s">
        <v>15</v>
      </c>
      <c r="G2" s="130" t="s">
        <v>15</v>
      </c>
      <c r="H2" s="130"/>
      <c r="I2" s="130" t="s">
        <v>15</v>
      </c>
      <c r="J2" s="196"/>
      <c r="K2" s="118"/>
      <c r="L2" s="129" t="s">
        <v>15</v>
      </c>
      <c r="M2" s="129" t="s">
        <v>15</v>
      </c>
      <c r="N2" s="199" t="s">
        <v>15</v>
      </c>
      <c r="O2" s="29">
        <f t="shared" ref="O2:O8" si="0">COUNTIF(C2:N2,"◯")</f>
        <v>6</v>
      </c>
    </row>
    <row r="3" spans="1:15" ht="15" customHeight="1" x14ac:dyDescent="0.25">
      <c r="A3" s="115" t="s">
        <v>18</v>
      </c>
      <c r="B3" s="74">
        <v>2.5115740740740741E-3</v>
      </c>
      <c r="C3" s="197" t="s">
        <v>15</v>
      </c>
      <c r="D3" s="39" t="s">
        <v>15</v>
      </c>
      <c r="E3" s="38"/>
      <c r="F3" s="38"/>
      <c r="G3" s="4"/>
      <c r="H3" s="4"/>
      <c r="I3" s="4"/>
      <c r="J3" s="42" t="s">
        <v>15</v>
      </c>
      <c r="K3" s="42" t="s">
        <v>15</v>
      </c>
      <c r="L3" s="42" t="s">
        <v>15</v>
      </c>
      <c r="M3" s="41"/>
      <c r="N3" s="117"/>
      <c r="O3" s="30">
        <f t="shared" si="0"/>
        <v>5</v>
      </c>
    </row>
    <row r="4" spans="1:15" ht="15" customHeight="1" x14ac:dyDescent="0.25">
      <c r="A4" s="27" t="s">
        <v>50</v>
      </c>
      <c r="B4" s="76">
        <v>2.5462962962962965E-3</v>
      </c>
      <c r="C4" s="43"/>
      <c r="D4" s="44"/>
      <c r="E4" s="44"/>
      <c r="F4" s="44"/>
      <c r="G4" s="45" t="s">
        <v>15</v>
      </c>
      <c r="H4" s="3"/>
      <c r="I4" s="3"/>
      <c r="J4" s="46"/>
      <c r="K4" s="46"/>
      <c r="L4" s="46"/>
      <c r="M4" s="46"/>
      <c r="N4" s="47" t="s">
        <v>15</v>
      </c>
      <c r="O4" s="30">
        <f t="shared" si="0"/>
        <v>2</v>
      </c>
    </row>
    <row r="5" spans="1:15" ht="15" customHeight="1" thickBot="1" x14ac:dyDescent="0.3">
      <c r="A5" s="205" t="s">
        <v>56</v>
      </c>
      <c r="B5" s="200">
        <v>2.1759259259259258E-3</v>
      </c>
      <c r="C5" s="201" t="s">
        <v>15</v>
      </c>
      <c r="D5" s="202" t="s">
        <v>15</v>
      </c>
      <c r="E5" s="202" t="s">
        <v>15</v>
      </c>
      <c r="F5" s="202" t="s">
        <v>15</v>
      </c>
      <c r="G5" s="120"/>
      <c r="H5" s="120"/>
      <c r="I5" s="120"/>
      <c r="J5" s="203" t="s">
        <v>15</v>
      </c>
      <c r="K5" s="204"/>
      <c r="L5" s="204"/>
      <c r="M5" s="203" t="s">
        <v>15</v>
      </c>
      <c r="N5" s="132"/>
      <c r="O5" s="30">
        <f t="shared" si="0"/>
        <v>6</v>
      </c>
    </row>
    <row r="6" spans="1:15" ht="15" customHeight="1" x14ac:dyDescent="0.25">
      <c r="A6" s="115" t="s">
        <v>49</v>
      </c>
      <c r="B6" s="74">
        <v>1.3888888888888889E-3</v>
      </c>
      <c r="C6" s="116"/>
      <c r="D6" s="39" t="s">
        <v>15</v>
      </c>
      <c r="E6" s="38"/>
      <c r="F6" s="38"/>
      <c r="G6" s="4"/>
      <c r="H6" s="4"/>
      <c r="I6" s="40" t="s">
        <v>15</v>
      </c>
      <c r="J6" s="41"/>
      <c r="K6" s="41"/>
      <c r="L6" s="41"/>
      <c r="M6" s="41"/>
      <c r="N6" s="117"/>
      <c r="O6" s="30">
        <f t="shared" si="0"/>
        <v>2</v>
      </c>
    </row>
    <row r="7" spans="1:15" ht="15" customHeight="1" thickBot="1" x14ac:dyDescent="0.3">
      <c r="A7" s="205" t="s">
        <v>53</v>
      </c>
      <c r="B7" s="200">
        <v>2.7430555555555554E-3</v>
      </c>
      <c r="C7" s="206" t="s">
        <v>24</v>
      </c>
      <c r="D7" s="119"/>
      <c r="E7" s="202" t="s">
        <v>15</v>
      </c>
      <c r="F7" s="202" t="s">
        <v>15</v>
      </c>
      <c r="G7" s="131"/>
      <c r="H7" s="207"/>
      <c r="I7" s="131"/>
      <c r="J7" s="121"/>
      <c r="K7" s="204"/>
      <c r="L7" s="204"/>
      <c r="M7" s="203"/>
      <c r="N7" s="208" t="s">
        <v>24</v>
      </c>
      <c r="O7" s="30">
        <f t="shared" si="0"/>
        <v>4</v>
      </c>
    </row>
    <row r="8" spans="1:15" ht="15" customHeight="1" thickBot="1" x14ac:dyDescent="0.3">
      <c r="A8" s="122" t="s">
        <v>51</v>
      </c>
      <c r="B8" s="123">
        <v>1.5625000000000001E-3</v>
      </c>
      <c r="C8" s="124" t="s">
        <v>15</v>
      </c>
      <c r="D8" s="125" t="s">
        <v>15</v>
      </c>
      <c r="E8" s="125" t="s">
        <v>15</v>
      </c>
      <c r="F8" s="125" t="s">
        <v>15</v>
      </c>
      <c r="G8" s="126" t="s">
        <v>15</v>
      </c>
      <c r="H8" s="126"/>
      <c r="I8" s="126" t="s">
        <v>15</v>
      </c>
      <c r="J8" s="127" t="s">
        <v>15</v>
      </c>
      <c r="K8" s="127" t="s">
        <v>15</v>
      </c>
      <c r="L8" s="127" t="s">
        <v>15</v>
      </c>
      <c r="M8" s="127" t="s">
        <v>15</v>
      </c>
      <c r="N8" s="128" t="s">
        <v>15</v>
      </c>
      <c r="O8" s="31">
        <f t="shared" si="0"/>
        <v>11</v>
      </c>
    </row>
    <row r="9" spans="1:15" ht="15" customHeight="1" thickBot="1" x14ac:dyDescent="0.3">
      <c r="A9" s="26" t="s">
        <v>25</v>
      </c>
      <c r="B9" s="77">
        <f>SUM(B2:B8)</f>
        <v>1.5046296296296295E-2</v>
      </c>
      <c r="C9" s="33">
        <f>COUNTIF(C2:C8,"◯")</f>
        <v>4</v>
      </c>
      <c r="D9" s="34">
        <f t="shared" ref="D9:G9" si="1">COUNTIF(D2:D8,"◯")</f>
        <v>4</v>
      </c>
      <c r="E9" s="34">
        <f t="shared" si="1"/>
        <v>3</v>
      </c>
      <c r="F9" s="34">
        <f t="shared" si="1"/>
        <v>4</v>
      </c>
      <c r="G9" s="35">
        <f t="shared" si="1"/>
        <v>3</v>
      </c>
      <c r="H9" s="35">
        <f t="shared" ref="H9" si="2">COUNTIF(H2:H8,"◯")</f>
        <v>0</v>
      </c>
      <c r="I9" s="35">
        <f t="shared" ref="I9" si="3">COUNTIF(I2:I8,"◯")</f>
        <v>3</v>
      </c>
      <c r="J9" s="36">
        <f t="shared" ref="J9:K9" si="4">COUNTIF(J2:J8,"◯")</f>
        <v>3</v>
      </c>
      <c r="K9" s="36">
        <f t="shared" si="4"/>
        <v>2</v>
      </c>
      <c r="L9" s="36">
        <f t="shared" ref="L9" si="5">COUNTIF(L2:L8,"◯")</f>
        <v>3</v>
      </c>
      <c r="M9" s="36">
        <f t="shared" ref="M9" si="6">COUNTIF(M2:M8,"◯")</f>
        <v>3</v>
      </c>
      <c r="N9" s="37">
        <f t="shared" ref="N9" si="7">COUNTIF(N2:N8,"◯")</f>
        <v>4</v>
      </c>
      <c r="O9" s="32"/>
    </row>
    <row r="10" spans="1:15" ht="13" thickTop="1" x14ac:dyDescent="0.25"/>
  </sheetData>
  <phoneticPr fontId="2"/>
  <conditionalFormatting sqref="C2:F8">
    <cfRule type="expression" dxfId="3" priority="3">
      <formula>MOD(ROW()+1,2)</formula>
    </cfRule>
  </conditionalFormatting>
  <conditionalFormatting sqref="G2:I8">
    <cfRule type="expression" dxfId="2" priority="2">
      <formula>MOD(ROW()+1,2)</formula>
    </cfRule>
  </conditionalFormatting>
  <conditionalFormatting sqref="J2:N8">
    <cfRule type="expression" dxfId="1" priority="1">
      <formula>MOD(ROW()+1,2)</formula>
    </cfRule>
  </conditionalFormatting>
  <conditionalFormatting sqref="O1:O8 A2:B8">
    <cfRule type="expression" dxfId="0" priority="4">
      <formula>MOD(ROW()+1,2)</formula>
    </cfRule>
  </conditionalFormatting>
  <pageMargins left="0.70866141732283472" right="0.70866141732283472" top="0.74803149606299213" bottom="0.74803149606299213" header="0.31496062992125984" footer="0.31496062992125984"/>
  <pageSetup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0427M</vt:lpstr>
      <vt:lpstr>0513W</vt:lpstr>
      <vt:lpstr>0514T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赤間智</dc:creator>
  <cp:lastModifiedBy>智 赤間</cp:lastModifiedBy>
  <cp:lastPrinted>2026-05-12T12:49:56Z</cp:lastPrinted>
  <dcterms:created xsi:type="dcterms:W3CDTF">2026-05-28T01:07:51Z</dcterms:created>
  <dcterms:modified xsi:type="dcterms:W3CDTF">2026-05-28T02:23:57Z</dcterms:modified>
</cp:coreProperties>
</file>