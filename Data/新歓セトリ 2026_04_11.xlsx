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26fafff2f2ce9c9/MDC/"/>
    </mc:Choice>
  </mc:AlternateContent>
  <xr:revisionPtr revIDLastSave="382" documentId="11_0454E5EC32EE4F711687EC34C8BCA9DB60CE2902" xr6:coauthVersionLast="47" xr6:coauthVersionMax="47" xr10:uidLastSave="{1CF48F4B-D0D8-4AAC-8262-55C056BA4F13}"/>
  <bookViews>
    <workbookView minimized="1" xWindow="4800" yWindow="3830" windowWidth="14400" windowHeight="8170" activeTab="2" xr2:uid="{00000000-000D-0000-FFFF-FFFF00000000}"/>
  </bookViews>
  <sheets>
    <sheet name="0427M" sheetId="1" r:id="rId1"/>
    <sheet name="0513W" sheetId="2" r:id="rId2"/>
    <sheet name="0514T (2)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4" l="1"/>
  <c r="H9" i="4"/>
  <c r="I9" i="4"/>
  <c r="J9" i="4"/>
  <c r="K9" i="4"/>
  <c r="L9" i="4"/>
  <c r="M9" i="4"/>
  <c r="N9" i="4"/>
  <c r="D9" i="4"/>
  <c r="E9" i="4"/>
  <c r="F9" i="4"/>
  <c r="C9" i="4"/>
  <c r="B9" i="4"/>
  <c r="O8" i="4"/>
  <c r="O5" i="4"/>
  <c r="O4" i="4"/>
  <c r="O6" i="4"/>
  <c r="O2" i="4"/>
  <c r="O3" i="4"/>
  <c r="O7" i="4"/>
  <c r="N2" i="2"/>
  <c r="B10" i="2"/>
  <c r="N3" i="2"/>
  <c r="N4" i="2"/>
  <c r="N5" i="2"/>
  <c r="N6" i="2"/>
  <c r="N7" i="2"/>
  <c r="N8" i="2"/>
  <c r="N9" i="2"/>
  <c r="C10" i="2"/>
  <c r="M10" i="2"/>
  <c r="L10" i="2"/>
  <c r="K10" i="2"/>
  <c r="J10" i="2"/>
  <c r="I10" i="2"/>
  <c r="H10" i="2"/>
  <c r="G10" i="2"/>
  <c r="F10" i="2"/>
  <c r="E10" i="2"/>
  <c r="D10" i="2"/>
  <c r="B10" i="1"/>
  <c r="M10" i="1"/>
  <c r="L10" i="1"/>
  <c r="K10" i="1"/>
  <c r="J10" i="1"/>
  <c r="I10" i="1"/>
  <c r="H10" i="1"/>
  <c r="G10" i="1"/>
  <c r="F10" i="1"/>
  <c r="E10" i="1"/>
  <c r="D10" i="1"/>
  <c r="C10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<sst xmlns="http://schemas.openxmlformats.org/spreadsheetml/2006/main" count="191" uniqueCount="57">
  <si>
    <t>title</t>
  </si>
  <si>
    <t>時間</t>
  </si>
  <si>
    <t>けいすけ</t>
  </si>
  <si>
    <t>だいご</t>
  </si>
  <si>
    <t>ひかる</t>
  </si>
  <si>
    <t>さやか</t>
  </si>
  <si>
    <t>きゃな</t>
  </si>
  <si>
    <t>まゆ</t>
  </si>
  <si>
    <t>あつや</t>
  </si>
  <si>
    <t>しまりん</t>
  </si>
  <si>
    <t>ゆーと</t>
  </si>
  <si>
    <t>とも</t>
  </si>
  <si>
    <t>ゆづき</t>
  </si>
  <si>
    <t>人数</t>
  </si>
  <si>
    <t>勘が冴えて悔しいわ</t>
  </si>
  <si>
    <t>◯</t>
  </si>
  <si>
    <t>Be Positive</t>
  </si>
  <si>
    <t>ブーケ・ダムール</t>
  </si>
  <si>
    <t>きままに</t>
  </si>
  <si>
    <t>永遠のライバル</t>
  </si>
  <si>
    <t>まゆきゃな</t>
  </si>
  <si>
    <t>Time...</t>
  </si>
  <si>
    <t>合計</t>
  </si>
  <si>
    <t>時間</t>
    <rPh sb="0" eb="2">
      <t>ジカン</t>
    </rPh>
    <phoneticPr fontId="2"/>
  </si>
  <si>
    <t>◯</t>
    <phoneticPr fontId="2"/>
  </si>
  <si>
    <t>合計</t>
    <rPh sb="0" eb="2">
      <t>ゴウケイ</t>
    </rPh>
    <phoneticPr fontId="2"/>
  </si>
  <si>
    <t>ブーケダムール</t>
  </si>
  <si>
    <t>HELP!!</t>
  </si>
  <si>
    <t>title</t>
    <phoneticPr fontId="7"/>
  </si>
  <si>
    <t>時間</t>
    <rPh sb="0" eb="2">
      <t>ジカン</t>
    </rPh>
    <phoneticPr fontId="7"/>
  </si>
  <si>
    <t>けいすけ</t>
    <phoneticPr fontId="7"/>
  </si>
  <si>
    <t>だいご</t>
    <phoneticPr fontId="7"/>
  </si>
  <si>
    <t>ひかる</t>
    <phoneticPr fontId="7"/>
  </si>
  <si>
    <t>さやか</t>
    <phoneticPr fontId="7"/>
  </si>
  <si>
    <t>なぎ</t>
    <phoneticPr fontId="7"/>
  </si>
  <si>
    <t>まゆ</t>
    <phoneticPr fontId="7"/>
  </si>
  <si>
    <t>あつや</t>
    <phoneticPr fontId="7"/>
  </si>
  <si>
    <t>しまりん</t>
    <phoneticPr fontId="7"/>
  </si>
  <si>
    <t>ゆうと</t>
    <phoneticPr fontId="7"/>
  </si>
  <si>
    <t>とも</t>
    <phoneticPr fontId="7"/>
  </si>
  <si>
    <t>ゆづき</t>
    <phoneticPr fontId="7"/>
  </si>
  <si>
    <r>
      <rPr>
        <sz val="11"/>
        <color rgb="FF000000"/>
        <rFont val="ＭＳ ゴシック"/>
        <family val="3"/>
        <charset val="128"/>
      </rPr>
      <t>人</t>
    </r>
    <r>
      <rPr>
        <sz val="11"/>
        <color rgb="FF000000"/>
        <rFont val="Aptos Narrow"/>
        <family val="2"/>
      </rPr>
      <t>/</t>
    </r>
    <r>
      <rPr>
        <sz val="11"/>
        <color rgb="FF000000"/>
        <rFont val="游ゴシック"/>
        <family val="3"/>
        <charset val="128"/>
      </rPr>
      <t>作品</t>
    </r>
    <rPh sb="0" eb="1">
      <t>ニン</t>
    </rPh>
    <rPh sb="2" eb="4">
      <t>サクヒン</t>
    </rPh>
    <phoneticPr fontId="7"/>
  </si>
  <si>
    <t>singularity</t>
    <phoneticPr fontId="7"/>
  </si>
  <si>
    <t>music</t>
    <phoneticPr fontId="7"/>
  </si>
  <si>
    <t>ブーケダムール</t>
    <phoneticPr fontId="7"/>
  </si>
  <si>
    <t>◯</t>
    <phoneticPr fontId="7"/>
  </si>
  <si>
    <t>きままに</t>
    <phoneticPr fontId="7"/>
  </si>
  <si>
    <t>HELP!!</t>
    <phoneticPr fontId="7"/>
  </si>
  <si>
    <t>rose</t>
    <phoneticPr fontId="7"/>
  </si>
  <si>
    <t>合計</t>
    <rPh sb="0" eb="2">
      <t>ゴウケイ</t>
    </rPh>
    <phoneticPr fontId="7"/>
  </si>
  <si>
    <t>ガリラヤ</t>
  </si>
  <si>
    <t>quiet room</t>
  </si>
  <si>
    <t>time…</t>
  </si>
  <si>
    <t>まひろ</t>
    <phoneticPr fontId="2"/>
  </si>
  <si>
    <t>Indomitable Spirits</t>
    <phoneticPr fontId="2"/>
  </si>
  <si>
    <t>まっちゃ6</t>
    <phoneticPr fontId="7"/>
  </si>
  <si>
    <t>time…</t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</si>
</sst>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&quot;:&quot;s"/>
    <numFmt numFmtId="177" formatCode="m&quot;:&quot;ss"/>
  </numFmts>
  <fonts count="1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6"/>
      <name val="Arial"/>
      <family val="3"/>
      <charset val="128"/>
      <scheme val="minor"/>
    </font>
    <font>
      <sz val="9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rgb="FF000000"/>
      <name val="Aptos Narrow"/>
      <family val="2"/>
    </font>
    <font>
      <sz val="6"/>
      <name val="Aptos Narrow"/>
      <family val="3"/>
      <charset val="128"/>
    </font>
    <font>
      <sz val="11"/>
      <color rgb="FF000000"/>
      <name val="ＭＳ Ｐゴシック"/>
      <family val="3"/>
      <charset val="128"/>
    </font>
    <font>
      <sz val="11"/>
      <color rgb="FF000000"/>
      <name val="Aptos Narrow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游ゴシック"/>
      <family val="3"/>
      <charset val="128"/>
    </font>
    <font>
      <sz val="11"/>
      <color rgb="FF000000"/>
      <name val="Segoe UI Symbol"/>
      <family val="2"/>
    </font>
    <font>
      <sz val="10"/>
      <color rgb="FF000000"/>
      <name val="Arial"/>
      <family val="3"/>
      <charset val="128"/>
      <scheme val="minor"/>
    </font>
    <font>
      <sz val="10"/>
      <color rgb="FF000000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rgb="FF000000"/>
      </patternFill>
    </fill>
  </fills>
  <borders count="116">
    <border>
      <left/>
      <right/>
      <top/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/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ck">
        <color auto="1"/>
      </bottom>
      <diagonal/>
    </border>
    <border>
      <left style="thin">
        <color auto="1"/>
      </left>
      <right/>
      <top style="medium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ck">
        <color auto="1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FF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FF0000"/>
      </bottom>
      <diagonal/>
    </border>
    <border>
      <left/>
      <right style="thin">
        <color rgb="FF000000"/>
      </right>
      <top style="thin">
        <color rgb="FF00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FF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FF0000"/>
      </bottom>
      <diagonal/>
    </border>
    <border>
      <left style="thick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FF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FF0000"/>
      </bottom>
      <diagonal/>
    </border>
    <border>
      <left/>
      <right style="medium">
        <color rgb="FF000000"/>
      </right>
      <top/>
      <bottom style="medium">
        <color rgb="FFFF0000"/>
      </bottom>
      <diagonal/>
    </border>
    <border>
      <left/>
      <right style="thin">
        <color rgb="FF000000"/>
      </right>
      <top/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FF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FF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FF0000"/>
      </bottom>
      <diagonal/>
    </border>
    <border>
      <left/>
      <right style="thin">
        <color rgb="FF000000"/>
      </right>
      <top style="thick">
        <color rgb="FF00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medium">
        <color rgb="FFFF0000"/>
      </bottom>
      <diagonal/>
    </border>
    <border>
      <left style="thin">
        <color rgb="FF000000"/>
      </left>
      <right style="medium">
        <color rgb="FF000000"/>
      </right>
      <top style="thick">
        <color rgb="FF00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medium">
        <color rgb="FFFFFF00"/>
      </bottom>
      <diagonal/>
    </border>
    <border>
      <left style="thin">
        <color rgb="FF000000"/>
      </left>
      <right style="thin">
        <color rgb="FF000000"/>
      </right>
      <top style="medium">
        <color rgb="FFFF0000"/>
      </top>
      <bottom style="medium">
        <color rgb="FFFFFF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FFFF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rgb="FFFFFF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rgb="FFFFFF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00"/>
      </bottom>
      <diagonal/>
    </border>
    <border>
      <left style="thick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thick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medium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ck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medium">
        <color rgb="FF000000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FF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FF00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/>
      <bottom style="thick">
        <color auto="1"/>
      </bottom>
      <diagonal/>
    </border>
    <border>
      <left style="medium">
        <color auto="1"/>
      </left>
      <right style="medium">
        <color auto="1"/>
      </right>
      <top/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medium">
        <color theme="1"/>
      </left>
      <right style="medium">
        <color auto="1"/>
      </right>
      <top/>
      <bottom style="medium">
        <color theme="1"/>
      </bottom>
      <diagonal/>
    </border>
    <border>
      <left/>
      <right style="medium">
        <color rgb="FF000000"/>
      </right>
      <top/>
      <bottom style="medium">
        <color theme="1"/>
      </bottom>
      <diagonal/>
    </border>
    <border>
      <left style="medium">
        <color auto="1"/>
      </left>
      <right style="thin">
        <color auto="1"/>
      </right>
      <top/>
      <bottom style="medium">
        <color theme="1"/>
      </bottom>
      <diagonal/>
    </border>
    <border>
      <left style="thin">
        <color auto="1"/>
      </left>
      <right style="thin">
        <color auto="1"/>
      </right>
      <top/>
      <bottom style="medium">
        <color theme="1"/>
      </bottom>
      <diagonal/>
    </border>
    <border>
      <left style="thin">
        <color auto="1"/>
      </left>
      <right style="medium">
        <color theme="1"/>
      </right>
      <top/>
      <bottom style="medium">
        <color theme="1"/>
      </bottom>
      <diagonal/>
    </border>
    <border>
      <left style="thick">
        <color auto="1"/>
      </left>
      <right style="medium">
        <color auto="1"/>
      </right>
      <top style="medium">
        <color rgb="FFFF0000"/>
      </top>
      <bottom style="thin">
        <color theme="1"/>
      </bottom>
      <diagonal/>
    </border>
    <border>
      <left style="medium">
        <color auto="1"/>
      </left>
      <right style="medium">
        <color auto="1"/>
      </right>
      <top style="medium">
        <color rgb="FFFF0000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theme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theme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</borders>
  <cellStyleXfs count="1">
    <xf numFmtId="0" fontId="0" fillId="0" borderId="0"/>
  </cellStyleXfs>
  <cellXfs count="211">
    <xf numFmtId="0" fontId="0" fillId="0" borderId="0" xfId="0"/>
    <xf numFmtId="176" fontId="1" fillId="0" borderId="0" xfId="0" applyNumberFormat="1" applyFont="1"/>
    <xf numFmtId="0" fontId="1" fillId="0" borderId="0" xfId="0" applyFont="1" applyAlignment="1">
      <alignment horizontal="center"/>
    </xf>
    <xf numFmtId="0" fontId="0" fillId="3" borderId="29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6" fillId="0" borderId="21" xfId="0" applyFont="1" applyBorder="1" applyAlignment="1">
      <alignment vertical="center"/>
    </xf>
    <xf numFmtId="45" fontId="8" fillId="0" borderId="22" xfId="0" applyNumberFormat="1" applyFont="1" applyBorder="1" applyAlignment="1">
      <alignment horizontal="right" vertical="center"/>
    </xf>
    <xf numFmtId="0" fontId="9" fillId="0" borderId="26" xfId="0" applyFont="1" applyBorder="1" applyAlignment="1">
      <alignment horizontal="right" vertical="center"/>
    </xf>
    <xf numFmtId="0" fontId="6" fillId="0" borderId="31" xfId="0" applyFont="1" applyBorder="1" applyAlignment="1">
      <alignment vertical="center"/>
    </xf>
    <xf numFmtId="0" fontId="6" fillId="0" borderId="32" xfId="0" applyFont="1" applyBorder="1" applyAlignment="1">
      <alignment vertical="center"/>
    </xf>
    <xf numFmtId="0" fontId="6" fillId="0" borderId="43" xfId="0" applyFont="1" applyBorder="1" applyAlignment="1">
      <alignment vertical="center"/>
    </xf>
    <xf numFmtId="177" fontId="6" fillId="0" borderId="33" xfId="0" applyNumberFormat="1" applyFont="1" applyBorder="1" applyAlignment="1">
      <alignment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0" fontId="6" fillId="5" borderId="34" xfId="0" applyFont="1" applyFill="1" applyBorder="1" applyAlignment="1">
      <alignment horizontal="center" vertical="center"/>
    </xf>
    <xf numFmtId="0" fontId="6" fillId="5" borderId="35" xfId="0" applyFont="1" applyFill="1" applyBorder="1" applyAlignment="1">
      <alignment horizontal="center" vertical="center"/>
    </xf>
    <xf numFmtId="0" fontId="9" fillId="5" borderId="35" xfId="0" applyFont="1" applyFill="1" applyBorder="1" applyAlignment="1">
      <alignment horizontal="center" vertical="center"/>
    </xf>
    <xf numFmtId="0" fontId="8" fillId="6" borderId="24" xfId="0" applyFont="1" applyFill="1" applyBorder="1" applyAlignment="1">
      <alignment horizontal="center" vertical="center"/>
    </xf>
    <xf numFmtId="0" fontId="9" fillId="6" borderId="35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0" fontId="6" fillId="7" borderId="24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6" fillId="7" borderId="35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9" fillId="7" borderId="36" xfId="0" applyFont="1" applyFill="1" applyBorder="1" applyAlignment="1">
      <alignment horizontal="center" vertical="center"/>
    </xf>
    <xf numFmtId="0" fontId="0" fillId="0" borderId="21" xfId="0" applyBorder="1"/>
    <xf numFmtId="0" fontId="5" fillId="0" borderId="39" xfId="0" applyFont="1" applyBorder="1" applyAlignment="1">
      <alignment horizontal="right"/>
    </xf>
    <xf numFmtId="0" fontId="0" fillId="0" borderId="27" xfId="0" applyBorder="1"/>
    <xf numFmtId="0" fontId="8" fillId="5" borderId="46" xfId="0" applyFont="1" applyFill="1" applyBorder="1" applyAlignment="1">
      <alignment horizontal="center" vertical="center"/>
    </xf>
    <xf numFmtId="0" fontId="0" fillId="0" borderId="37" xfId="0" applyBorder="1"/>
    <xf numFmtId="0" fontId="0" fillId="0" borderId="31" xfId="0" applyBorder="1"/>
    <xf numFmtId="0" fontId="0" fillId="0" borderId="38" xfId="0" applyBorder="1"/>
    <xf numFmtId="0" fontId="0" fillId="0" borderId="43" xfId="0" applyBorder="1"/>
    <xf numFmtId="0" fontId="0" fillId="2" borderId="47" xfId="0" applyFill="1" applyBorder="1"/>
    <xf numFmtId="0" fontId="0" fillId="2" borderId="41" xfId="0" applyFill="1" applyBorder="1"/>
    <xf numFmtId="0" fontId="0" fillId="3" borderId="41" xfId="0" applyFill="1" applyBorder="1"/>
    <xf numFmtId="0" fontId="0" fillId="4" borderId="41" xfId="0" applyFill="1" applyBorder="1"/>
    <xf numFmtId="0" fontId="0" fillId="4" borderId="42" xfId="0" applyFill="1" applyBorder="1"/>
    <xf numFmtId="0" fontId="0" fillId="2" borderId="35" xfId="0" applyFill="1" applyBorder="1" applyAlignment="1">
      <alignment horizontal="center" vertical="center"/>
    </xf>
    <xf numFmtId="0" fontId="13" fillId="2" borderId="35" xfId="0" applyFont="1" applyFill="1" applyBorder="1" applyAlignment="1">
      <alignment horizontal="center" vertical="center"/>
    </xf>
    <xf numFmtId="0" fontId="13" fillId="3" borderId="35" xfId="0" applyFont="1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13" fillId="4" borderId="35" xfId="0" applyFont="1" applyFill="1" applyBorder="1" applyAlignment="1">
      <alignment horizontal="center" vertical="center"/>
    </xf>
    <xf numFmtId="0" fontId="0" fillId="2" borderId="44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13" fillId="4" borderId="30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2" xfId="0" applyFont="1" applyBorder="1" applyAlignment="1">
      <alignment vertical="center"/>
    </xf>
    <xf numFmtId="177" fontId="1" fillId="0" borderId="3" xfId="0" applyNumberFormat="1" applyFont="1" applyBorder="1" applyAlignment="1">
      <alignment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77" fontId="1" fillId="0" borderId="9" xfId="0" applyNumberFormat="1" applyFont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15" xfId="0" applyFont="1" applyBorder="1" applyAlignment="1">
      <alignment horizontal="right" vertical="center"/>
    </xf>
    <xf numFmtId="176" fontId="3" fillId="0" borderId="16" xfId="0" applyNumberFormat="1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0" fontId="1" fillId="2" borderId="18" xfId="0" applyFont="1" applyFill="1" applyBorder="1" applyAlignment="1">
      <alignment horizontal="right" vertical="center"/>
    </xf>
    <xf numFmtId="0" fontId="1" fillId="3" borderId="18" xfId="0" applyFont="1" applyFill="1" applyBorder="1" applyAlignment="1">
      <alignment horizontal="right" vertical="center"/>
    </xf>
    <xf numFmtId="0" fontId="1" fillId="4" borderId="18" xfId="0" applyFont="1" applyFill="1" applyBorder="1" applyAlignment="1">
      <alignment horizontal="right" vertical="center"/>
    </xf>
    <xf numFmtId="0" fontId="1" fillId="4" borderId="19" xfId="0" applyFont="1" applyFill="1" applyBorder="1" applyAlignment="1">
      <alignment horizontal="right" vertical="center"/>
    </xf>
    <xf numFmtId="177" fontId="0" fillId="0" borderId="33" xfId="0" applyNumberFormat="1" applyBorder="1" applyAlignment="1">
      <alignment vertical="center"/>
    </xf>
    <xf numFmtId="177" fontId="5" fillId="0" borderId="22" xfId="0" applyNumberFormat="1" applyFont="1" applyBorder="1" applyAlignment="1">
      <alignment horizontal="right" vertical="center"/>
    </xf>
    <xf numFmtId="177" fontId="0" fillId="0" borderId="28" xfId="0" applyNumberFormat="1" applyBorder="1" applyAlignment="1">
      <alignment vertical="center"/>
    </xf>
    <xf numFmtId="177" fontId="0" fillId="0" borderId="40" xfId="0" applyNumberFormat="1" applyBorder="1" applyAlignment="1">
      <alignment vertical="center"/>
    </xf>
    <xf numFmtId="177" fontId="0" fillId="0" borderId="0" xfId="0" applyNumberFormat="1" applyAlignment="1">
      <alignment vertical="center"/>
    </xf>
    <xf numFmtId="0" fontId="1" fillId="0" borderId="48" xfId="0" applyFont="1" applyBorder="1" applyAlignment="1">
      <alignment vertical="center"/>
    </xf>
    <xf numFmtId="177" fontId="1" fillId="0" borderId="49" xfId="0" applyNumberFormat="1" applyFont="1" applyBorder="1" applyAlignment="1">
      <alignment vertical="center"/>
    </xf>
    <xf numFmtId="0" fontId="1" fillId="2" borderId="50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0" fontId="1" fillId="3" borderId="51" xfId="0" applyFont="1" applyFill="1" applyBorder="1" applyAlignment="1">
      <alignment horizontal="center" vertical="center"/>
    </xf>
    <xf numFmtId="0" fontId="1" fillId="4" borderId="51" xfId="0" applyFont="1" applyFill="1" applyBorder="1" applyAlignment="1">
      <alignment horizontal="center" vertical="center"/>
    </xf>
    <xf numFmtId="0" fontId="1" fillId="4" borderId="52" xfId="0" applyFont="1" applyFill="1" applyBorder="1" applyAlignment="1">
      <alignment horizontal="center" vertical="center"/>
    </xf>
    <xf numFmtId="0" fontId="1" fillId="0" borderId="53" xfId="0" applyFont="1" applyBorder="1" applyAlignment="1">
      <alignment vertical="center"/>
    </xf>
    <xf numFmtId="177" fontId="1" fillId="0" borderId="54" xfId="0" applyNumberFormat="1" applyFont="1" applyBorder="1" applyAlignment="1">
      <alignment vertical="center"/>
    </xf>
    <xf numFmtId="0" fontId="1" fillId="2" borderId="55" xfId="0" applyFont="1" applyFill="1" applyBorder="1" applyAlignment="1">
      <alignment horizontal="center" vertical="center"/>
    </xf>
    <xf numFmtId="0" fontId="1" fillId="2" borderId="56" xfId="0" applyFont="1" applyFill="1" applyBorder="1" applyAlignment="1">
      <alignment horizontal="center" vertical="center"/>
    </xf>
    <xf numFmtId="0" fontId="1" fillId="3" borderId="56" xfId="0" applyFont="1" applyFill="1" applyBorder="1" applyAlignment="1">
      <alignment horizontal="center" vertical="center"/>
    </xf>
    <xf numFmtId="0" fontId="1" fillId="4" borderId="56" xfId="0" applyFont="1" applyFill="1" applyBorder="1" applyAlignment="1">
      <alignment horizontal="center" vertical="center"/>
    </xf>
    <xf numFmtId="0" fontId="1" fillId="4" borderId="57" xfId="0" applyFont="1" applyFill="1" applyBorder="1" applyAlignment="1">
      <alignment horizontal="center" vertical="center"/>
    </xf>
    <xf numFmtId="0" fontId="4" fillId="0" borderId="48" xfId="0" applyFont="1" applyBorder="1" applyAlignment="1">
      <alignment vertical="center"/>
    </xf>
    <xf numFmtId="0" fontId="1" fillId="0" borderId="59" xfId="0" applyFont="1" applyBorder="1" applyAlignment="1">
      <alignment vertical="center"/>
    </xf>
    <xf numFmtId="177" fontId="1" fillId="0" borderId="60" xfId="0" applyNumberFormat="1" applyFont="1" applyBorder="1" applyAlignment="1">
      <alignment vertical="center"/>
    </xf>
    <xf numFmtId="0" fontId="1" fillId="2" borderId="61" xfId="0" applyFont="1" applyFill="1" applyBorder="1" applyAlignment="1">
      <alignment horizontal="center" vertical="center"/>
    </xf>
    <xf numFmtId="0" fontId="1" fillId="2" borderId="62" xfId="0" applyFont="1" applyFill="1" applyBorder="1" applyAlignment="1">
      <alignment horizontal="center" vertical="center"/>
    </xf>
    <xf numFmtId="0" fontId="1" fillId="3" borderId="62" xfId="0" applyFont="1" applyFill="1" applyBorder="1" applyAlignment="1">
      <alignment horizontal="center" vertical="center"/>
    </xf>
    <xf numFmtId="0" fontId="1" fillId="4" borderId="62" xfId="0" applyFont="1" applyFill="1" applyBorder="1" applyAlignment="1">
      <alignment horizontal="center" vertical="center"/>
    </xf>
    <xf numFmtId="0" fontId="1" fillId="4" borderId="63" xfId="0" applyFont="1" applyFill="1" applyBorder="1" applyAlignment="1">
      <alignment horizontal="center" vertical="center"/>
    </xf>
    <xf numFmtId="0" fontId="1" fillId="0" borderId="58" xfId="0" applyFont="1" applyBorder="1" applyAlignment="1">
      <alignment vertical="center"/>
    </xf>
    <xf numFmtId="176" fontId="1" fillId="0" borderId="64" xfId="0" applyNumberFormat="1" applyFont="1" applyBorder="1" applyAlignment="1">
      <alignment horizontal="right" vertical="center"/>
    </xf>
    <xf numFmtId="0" fontId="1" fillId="2" borderId="65" xfId="0" applyFont="1" applyFill="1" applyBorder="1" applyAlignment="1">
      <alignment horizontal="center" vertical="center"/>
    </xf>
    <xf numFmtId="0" fontId="1" fillId="2" borderId="66" xfId="0" applyFont="1" applyFill="1" applyBorder="1" applyAlignment="1">
      <alignment horizontal="center" vertical="center"/>
    </xf>
    <xf numFmtId="0" fontId="1" fillId="3" borderId="66" xfId="0" applyFont="1" applyFill="1" applyBorder="1" applyAlignment="1">
      <alignment horizontal="center" vertical="center"/>
    </xf>
    <xf numFmtId="0" fontId="1" fillId="4" borderId="66" xfId="0" applyFont="1" applyFill="1" applyBorder="1" applyAlignment="1">
      <alignment horizontal="center" vertical="center"/>
    </xf>
    <xf numFmtId="0" fontId="1" fillId="4" borderId="67" xfId="0" applyFont="1" applyFill="1" applyBorder="1" applyAlignment="1">
      <alignment horizontal="center" vertical="center"/>
    </xf>
    <xf numFmtId="0" fontId="1" fillId="2" borderId="68" xfId="0" applyFont="1" applyFill="1" applyBorder="1" applyAlignment="1">
      <alignment horizontal="center" vertical="center"/>
    </xf>
    <xf numFmtId="0" fontId="1" fillId="4" borderId="69" xfId="0" applyFont="1" applyFill="1" applyBorder="1" applyAlignment="1">
      <alignment horizontal="center" vertical="center"/>
    </xf>
    <xf numFmtId="0" fontId="1" fillId="3" borderId="70" xfId="0" applyFont="1" applyFill="1" applyBorder="1" applyAlignment="1">
      <alignment horizontal="center" vertical="center"/>
    </xf>
    <xf numFmtId="0" fontId="1" fillId="2" borderId="70" xfId="0" applyFont="1" applyFill="1" applyBorder="1" applyAlignment="1">
      <alignment horizontal="center" vertical="center"/>
    </xf>
    <xf numFmtId="0" fontId="12" fillId="5" borderId="35" xfId="0" applyFont="1" applyFill="1" applyBorder="1" applyAlignment="1">
      <alignment horizontal="center" vertical="center"/>
    </xf>
    <xf numFmtId="0" fontId="6" fillId="7" borderId="72" xfId="0" applyFont="1" applyFill="1" applyBorder="1" applyAlignment="1">
      <alignment horizontal="center" vertical="center"/>
    </xf>
    <xf numFmtId="0" fontId="6" fillId="7" borderId="77" xfId="0" applyFont="1" applyFill="1" applyBorder="1" applyAlignment="1">
      <alignment horizontal="center" vertical="center"/>
    </xf>
    <xf numFmtId="0" fontId="0" fillId="0" borderId="32" xfId="0" applyBorder="1"/>
    <xf numFmtId="0" fontId="0" fillId="2" borderId="45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72" xfId="0" applyFill="1" applyBorder="1" applyAlignment="1">
      <alignment horizontal="center" vertical="center"/>
    </xf>
    <xf numFmtId="0" fontId="0" fillId="2" borderId="73" xfId="0" applyFill="1" applyBorder="1" applyAlignment="1">
      <alignment horizontal="center" vertical="center"/>
    </xf>
    <xf numFmtId="0" fontId="0" fillId="3" borderId="73" xfId="0" applyFill="1" applyBorder="1" applyAlignment="1">
      <alignment horizontal="center" vertical="center"/>
    </xf>
    <xf numFmtId="0" fontId="0" fillId="4" borderId="73" xfId="0" applyFill="1" applyBorder="1" applyAlignment="1">
      <alignment horizontal="center" vertical="center"/>
    </xf>
    <xf numFmtId="0" fontId="0" fillId="0" borderId="74" xfId="0" applyBorder="1"/>
    <xf numFmtId="177" fontId="0" fillId="0" borderId="79" xfId="0" applyNumberFormat="1" applyBorder="1" applyAlignment="1">
      <alignment vertical="center"/>
    </xf>
    <xf numFmtId="0" fontId="13" fillId="2" borderId="80" xfId="0" applyFont="1" applyFill="1" applyBorder="1" applyAlignment="1">
      <alignment horizontal="center" vertical="center"/>
    </xf>
    <xf numFmtId="0" fontId="13" fillId="2" borderId="75" xfId="0" applyFont="1" applyFill="1" applyBorder="1" applyAlignment="1">
      <alignment horizontal="center" vertical="center"/>
    </xf>
    <xf numFmtId="0" fontId="13" fillId="3" borderId="75" xfId="0" applyFont="1" applyFill="1" applyBorder="1" applyAlignment="1">
      <alignment horizontal="center" vertical="center"/>
    </xf>
    <xf numFmtId="0" fontId="13" fillId="4" borderId="75" xfId="0" applyFont="1" applyFill="1" applyBorder="1" applyAlignment="1">
      <alignment horizontal="center" vertical="center"/>
    </xf>
    <xf numFmtId="0" fontId="13" fillId="4" borderId="76" xfId="0" applyFont="1" applyFill="1" applyBorder="1" applyAlignment="1">
      <alignment horizontal="center" vertical="center"/>
    </xf>
    <xf numFmtId="0" fontId="13" fillId="4" borderId="77" xfId="0" applyFont="1" applyFill="1" applyBorder="1" applyAlignment="1">
      <alignment horizontal="center" vertical="center"/>
    </xf>
    <xf numFmtId="0" fontId="13" fillId="3" borderId="77" xfId="0" applyFont="1" applyFill="1" applyBorder="1" applyAlignment="1">
      <alignment horizontal="center" vertical="center"/>
    </xf>
    <xf numFmtId="0" fontId="0" fillId="3" borderId="78" xfId="0" applyFill="1" applyBorder="1" applyAlignment="1">
      <alignment horizontal="center" vertical="center"/>
    </xf>
    <xf numFmtId="0" fontId="0" fillId="4" borderId="81" xfId="0" applyFill="1" applyBorder="1" applyAlignment="1">
      <alignment horizontal="center" vertical="center"/>
    </xf>
    <xf numFmtId="0" fontId="6" fillId="0" borderId="83" xfId="0" applyFont="1" applyBorder="1" applyAlignment="1">
      <alignment vertical="center"/>
    </xf>
    <xf numFmtId="177" fontId="6" fillId="0" borderId="84" xfId="0" applyNumberFormat="1" applyFont="1" applyBorder="1" applyAlignment="1">
      <alignment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77" xfId="0" applyFont="1" applyFill="1" applyBorder="1" applyAlignment="1">
      <alignment horizontal="center" vertical="center"/>
    </xf>
    <xf numFmtId="0" fontId="6" fillId="6" borderId="77" xfId="0" applyFont="1" applyFill="1" applyBorder="1" applyAlignment="1">
      <alignment horizontal="center" vertical="center"/>
    </xf>
    <xf numFmtId="0" fontId="9" fillId="7" borderId="77" xfId="0" applyFont="1" applyFill="1" applyBorder="1" applyAlignment="1">
      <alignment horizontal="center" vertical="center"/>
    </xf>
    <xf numFmtId="0" fontId="6" fillId="7" borderId="86" xfId="0" applyFont="1" applyFill="1" applyBorder="1" applyAlignment="1">
      <alignment horizontal="center" vertical="center"/>
    </xf>
    <xf numFmtId="0" fontId="6" fillId="0" borderId="87" xfId="0" applyFont="1" applyBorder="1" applyAlignment="1">
      <alignment vertical="center"/>
    </xf>
    <xf numFmtId="177" fontId="6" fillId="0" borderId="88" xfId="0" applyNumberFormat="1" applyFont="1" applyBorder="1" applyAlignment="1">
      <alignment vertical="center"/>
    </xf>
    <xf numFmtId="0" fontId="6" fillId="5" borderId="89" xfId="0" applyFont="1" applyFill="1" applyBorder="1" applyAlignment="1">
      <alignment horizontal="center" vertical="center"/>
    </xf>
    <xf numFmtId="0" fontId="6" fillId="5" borderId="90" xfId="0" applyFont="1" applyFill="1" applyBorder="1" applyAlignment="1">
      <alignment horizontal="center" vertical="center"/>
    </xf>
    <xf numFmtId="0" fontId="9" fillId="5" borderId="90" xfId="0" applyFont="1" applyFill="1" applyBorder="1" applyAlignment="1">
      <alignment horizontal="center" vertical="center"/>
    </xf>
    <xf numFmtId="0" fontId="9" fillId="6" borderId="90" xfId="0" applyFont="1" applyFill="1" applyBorder="1" applyAlignment="1">
      <alignment horizontal="center" vertical="center"/>
    </xf>
    <xf numFmtId="0" fontId="6" fillId="6" borderId="90" xfId="0" applyFont="1" applyFill="1" applyBorder="1" applyAlignment="1">
      <alignment horizontal="center" vertical="center"/>
    </xf>
    <xf numFmtId="0" fontId="6" fillId="7" borderId="90" xfId="0" applyFont="1" applyFill="1" applyBorder="1" applyAlignment="1">
      <alignment horizontal="center" vertical="center"/>
    </xf>
    <xf numFmtId="0" fontId="9" fillId="7" borderId="90" xfId="0" applyFont="1" applyFill="1" applyBorder="1" applyAlignment="1">
      <alignment horizontal="center" vertical="center"/>
    </xf>
    <xf numFmtId="0" fontId="6" fillId="7" borderId="91" xfId="0" applyFont="1" applyFill="1" applyBorder="1" applyAlignment="1">
      <alignment horizontal="center" vertical="center"/>
    </xf>
    <xf numFmtId="0" fontId="8" fillId="0" borderId="92" xfId="0" applyFont="1" applyBorder="1" applyAlignment="1">
      <alignment vertical="center"/>
    </xf>
    <xf numFmtId="177" fontId="1" fillId="0" borderId="93" xfId="0" applyNumberFormat="1" applyFont="1" applyBorder="1"/>
    <xf numFmtId="0" fontId="9" fillId="5" borderId="94" xfId="0" applyFont="1" applyFill="1" applyBorder="1" applyAlignment="1">
      <alignment horizontal="center" vertical="center"/>
    </xf>
    <xf numFmtId="0" fontId="9" fillId="5" borderId="78" xfId="0" applyFont="1" applyFill="1" applyBorder="1" applyAlignment="1">
      <alignment horizontal="center" vertical="center"/>
    </xf>
    <xf numFmtId="0" fontId="6" fillId="5" borderId="78" xfId="0" applyFont="1" applyFill="1" applyBorder="1" applyAlignment="1">
      <alignment horizontal="center" vertical="center"/>
    </xf>
    <xf numFmtId="0" fontId="9" fillId="7" borderId="78" xfId="0" applyFont="1" applyFill="1" applyBorder="1" applyAlignment="1">
      <alignment horizontal="center" vertical="center"/>
    </xf>
    <xf numFmtId="0" fontId="6" fillId="7" borderId="78" xfId="0" applyFont="1" applyFill="1" applyBorder="1" applyAlignment="1">
      <alignment horizontal="center" vertical="center"/>
    </xf>
    <xf numFmtId="0" fontId="6" fillId="7" borderId="81" xfId="0" applyFont="1" applyFill="1" applyBorder="1" applyAlignment="1">
      <alignment horizontal="center" vertical="center"/>
    </xf>
    <xf numFmtId="0" fontId="12" fillId="5" borderId="89" xfId="0" applyFont="1" applyFill="1" applyBorder="1" applyAlignment="1">
      <alignment horizontal="center" vertical="center"/>
    </xf>
    <xf numFmtId="0" fontId="9" fillId="7" borderId="91" xfId="0" applyFont="1" applyFill="1" applyBorder="1" applyAlignment="1">
      <alignment horizontal="center" vertical="center"/>
    </xf>
    <xf numFmtId="0" fontId="9" fillId="7" borderId="82" xfId="0" applyFont="1" applyFill="1" applyBorder="1" applyAlignment="1">
      <alignment horizontal="center" vertical="center"/>
    </xf>
    <xf numFmtId="0" fontId="6" fillId="7" borderId="95" xfId="0" applyFont="1" applyFill="1" applyBorder="1" applyAlignment="1">
      <alignment horizontal="center" vertical="center"/>
    </xf>
    <xf numFmtId="0" fontId="6" fillId="5" borderId="96" xfId="0" applyFont="1" applyFill="1" applyBorder="1" applyAlignment="1">
      <alignment horizontal="center" vertical="center"/>
    </xf>
    <xf numFmtId="0" fontId="9" fillId="6" borderId="82" xfId="0" applyFont="1" applyFill="1" applyBorder="1" applyAlignment="1">
      <alignment horizontal="center" vertical="center"/>
    </xf>
    <xf numFmtId="0" fontId="6" fillId="6" borderId="73" xfId="0" applyFont="1" applyFill="1" applyBorder="1" applyAlignment="1">
      <alignment horizontal="center" vertical="center"/>
    </xf>
    <xf numFmtId="0" fontId="6" fillId="6" borderId="82" xfId="0" applyFont="1" applyFill="1" applyBorder="1" applyAlignment="1">
      <alignment horizontal="center" vertical="center"/>
    </xf>
    <xf numFmtId="0" fontId="6" fillId="7" borderId="96" xfId="0" applyFont="1" applyFill="1" applyBorder="1" applyAlignment="1">
      <alignment horizontal="center" vertical="center"/>
    </xf>
    <xf numFmtId="0" fontId="6" fillId="0" borderId="97" xfId="0" applyFont="1" applyBorder="1" applyAlignment="1">
      <alignment vertical="center"/>
    </xf>
    <xf numFmtId="0" fontId="8" fillId="0" borderId="98" xfId="0" applyFont="1" applyBorder="1" applyAlignment="1">
      <alignment horizontal="right" vertical="center"/>
    </xf>
    <xf numFmtId="45" fontId="6" fillId="0" borderId="99" xfId="0" applyNumberFormat="1" applyFont="1" applyBorder="1" applyAlignment="1">
      <alignment vertical="center"/>
    </xf>
    <xf numFmtId="0" fontId="6" fillId="2" borderId="100" xfId="0" applyFont="1" applyFill="1" applyBorder="1" applyAlignment="1">
      <alignment vertical="center"/>
    </xf>
    <xf numFmtId="0" fontId="6" fillId="2" borderId="101" xfId="0" applyFont="1" applyFill="1" applyBorder="1" applyAlignment="1">
      <alignment vertical="center"/>
    </xf>
    <xf numFmtId="0" fontId="6" fillId="3" borderId="101" xfId="0" applyFont="1" applyFill="1" applyBorder="1" applyAlignment="1">
      <alignment vertical="center"/>
    </xf>
    <xf numFmtId="0" fontId="6" fillId="4" borderId="101" xfId="0" applyFont="1" applyFill="1" applyBorder="1" applyAlignment="1">
      <alignment vertical="center"/>
    </xf>
    <xf numFmtId="0" fontId="6" fillId="4" borderId="102" xfId="0" applyFont="1" applyFill="1" applyBorder="1" applyAlignment="1">
      <alignment vertical="center"/>
    </xf>
    <xf numFmtId="0" fontId="6" fillId="0" borderId="103" xfId="0" applyFont="1" applyBorder="1" applyAlignment="1">
      <alignment vertical="center"/>
    </xf>
    <xf numFmtId="177" fontId="1" fillId="0" borderId="104" xfId="0" applyNumberFormat="1" applyFont="1" applyBorder="1"/>
    <xf numFmtId="0" fontId="12" fillId="5" borderId="105" xfId="0" applyFont="1" applyFill="1" applyBorder="1" applyAlignment="1">
      <alignment horizontal="center" vertical="center"/>
    </xf>
    <xf numFmtId="0" fontId="12" fillId="5" borderId="106" xfId="0" applyFont="1" applyFill="1" applyBorder="1" applyAlignment="1">
      <alignment horizontal="center" vertical="center"/>
    </xf>
    <xf numFmtId="0" fontId="12" fillId="6" borderId="106" xfId="0" applyFont="1" applyFill="1" applyBorder="1" applyAlignment="1">
      <alignment horizontal="center" vertical="center"/>
    </xf>
    <xf numFmtId="0" fontId="12" fillId="7" borderId="106" xfId="0" applyFont="1" applyFill="1" applyBorder="1" applyAlignment="1">
      <alignment horizontal="center" vertical="center"/>
    </xf>
    <xf numFmtId="0" fontId="12" fillId="7" borderId="107" xfId="0" applyFont="1" applyFill="1" applyBorder="1" applyAlignment="1">
      <alignment horizontal="center" vertical="center"/>
    </xf>
    <xf numFmtId="0" fontId="8" fillId="0" borderId="108" xfId="0" applyFont="1" applyBorder="1" applyAlignment="1">
      <alignment vertical="center"/>
    </xf>
    <xf numFmtId="177" fontId="6" fillId="0" borderId="109" xfId="0" applyNumberFormat="1" applyFont="1" applyBorder="1" applyAlignment="1">
      <alignment vertical="center"/>
    </xf>
    <xf numFmtId="0" fontId="9" fillId="5" borderId="110" xfId="0" applyFont="1" applyFill="1" applyBorder="1" applyAlignment="1">
      <alignment horizontal="center" vertical="center"/>
    </xf>
    <xf numFmtId="0" fontId="9" fillId="5" borderId="111" xfId="0" applyFont="1" applyFill="1" applyBorder="1" applyAlignment="1">
      <alignment horizontal="center" vertical="center"/>
    </xf>
    <xf numFmtId="0" fontId="9" fillId="5" borderId="112" xfId="0" applyFont="1" applyFill="1" applyBorder="1" applyAlignment="1">
      <alignment horizontal="center" vertical="center"/>
    </xf>
    <xf numFmtId="0" fontId="6" fillId="5" borderId="112" xfId="0" applyFont="1" applyFill="1" applyBorder="1" applyAlignment="1">
      <alignment horizontal="center" vertical="center"/>
    </xf>
    <xf numFmtId="0" fontId="6" fillId="6" borderId="112" xfId="0" applyFont="1" applyFill="1" applyBorder="1" applyAlignment="1">
      <alignment horizontal="center" vertical="center"/>
    </xf>
    <xf numFmtId="0" fontId="9" fillId="6" borderId="112" xfId="0" applyFont="1" applyFill="1" applyBorder="1" applyAlignment="1">
      <alignment horizontal="center" vertical="center"/>
    </xf>
    <xf numFmtId="0" fontId="6" fillId="7" borderId="111" xfId="0" applyFont="1" applyFill="1" applyBorder="1" applyAlignment="1">
      <alignment horizontal="center" vertical="center"/>
    </xf>
    <xf numFmtId="0" fontId="6" fillId="7" borderId="112" xfId="0" applyFont="1" applyFill="1" applyBorder="1" applyAlignment="1">
      <alignment horizontal="center" vertical="center"/>
    </xf>
    <xf numFmtId="0" fontId="9" fillId="7" borderId="113" xfId="0" applyFont="1" applyFill="1" applyBorder="1" applyAlignment="1">
      <alignment horizontal="center" vertical="center"/>
    </xf>
    <xf numFmtId="177" fontId="0" fillId="0" borderId="84" xfId="0" applyNumberFormat="1" applyBorder="1" applyAlignment="1">
      <alignment vertical="center"/>
    </xf>
    <xf numFmtId="0" fontId="0" fillId="2" borderId="77" xfId="0" applyFill="1" applyBorder="1" applyAlignment="1">
      <alignment horizontal="center" vertical="center"/>
    </xf>
    <xf numFmtId="0" fontId="13" fillId="2" borderId="77" xfId="0" applyFont="1" applyFill="1" applyBorder="1" applyAlignment="1">
      <alignment horizontal="center" vertical="center"/>
    </xf>
    <xf numFmtId="0" fontId="0" fillId="4" borderId="77" xfId="0" applyFill="1" applyBorder="1" applyAlignment="1">
      <alignment horizontal="center" vertical="center"/>
    </xf>
    <xf numFmtId="0" fontId="13" fillId="2" borderId="45" xfId="0" applyFont="1" applyFill="1" applyBorder="1" applyAlignment="1">
      <alignment horizontal="center" vertical="center"/>
    </xf>
    <xf numFmtId="0" fontId="0" fillId="0" borderId="83" xfId="0" applyBorder="1"/>
    <xf numFmtId="0" fontId="13" fillId="4" borderId="86" xfId="0" applyFont="1" applyFill="1" applyBorder="1" applyAlignment="1">
      <alignment horizontal="center" vertical="center"/>
    </xf>
    <xf numFmtId="0" fontId="0" fillId="0" borderId="92" xfId="0" applyBorder="1"/>
    <xf numFmtId="177" fontId="0" fillId="0" borderId="114" xfId="0" applyNumberFormat="1" applyBorder="1" applyAlignment="1">
      <alignment vertical="center"/>
    </xf>
    <xf numFmtId="0" fontId="13" fillId="2" borderId="115" xfId="0" applyFont="1" applyFill="1" applyBorder="1" applyAlignment="1">
      <alignment horizontal="center" vertical="center"/>
    </xf>
    <xf numFmtId="0" fontId="13" fillId="2" borderId="78" xfId="0" applyFont="1" applyFill="1" applyBorder="1" applyAlignment="1">
      <alignment horizontal="center" vertical="center"/>
    </xf>
    <xf numFmtId="0" fontId="13" fillId="4" borderId="78" xfId="0" applyFont="1" applyFill="1" applyBorder="1" applyAlignment="1">
      <alignment horizontal="center" vertical="center"/>
    </xf>
    <xf numFmtId="0" fontId="0" fillId="4" borderId="78" xfId="0" applyFill="1" applyBorder="1" applyAlignment="1">
      <alignment horizontal="center" vertical="center"/>
    </xf>
    <xf numFmtId="0" fontId="5" fillId="0" borderId="92" xfId="0" applyFont="1" applyBorder="1"/>
    <xf numFmtId="0" fontId="14" fillId="2" borderId="115" xfId="0" applyFont="1" applyFill="1" applyBorder="1" applyAlignment="1">
      <alignment horizontal="center" vertical="center"/>
    </xf>
    <xf numFmtId="0" fontId="13" fillId="3" borderId="78" xfId="0" applyFont="1" applyFill="1" applyBorder="1" applyAlignment="1">
      <alignment horizontal="center" vertical="center"/>
    </xf>
    <xf numFmtId="0" fontId="14" fillId="4" borderId="81" xfId="0" applyFont="1" applyFill="1" applyBorder="1" applyAlignment="1">
      <alignment horizontal="center" vertical="center"/>
    </xf>
    <xf numFmtId="0" fontId="0" fillId="2" borderId="71" xfId="0" applyFill="1" applyBorder="1" applyAlignment="1">
      <alignment horizontal="center" vertical="center"/>
    </xf>
  </cellXfs>
  <cellStyles count="1">
    <cellStyle name="標準" xfId="0" builtinId="0"/>
  </cellStyles>
  <dxfs count="12">
    <dxf>
      <fill>
        <patternFill>
          <bgColor theme="0" tint="-0.14996795556505021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9A5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E1CD"/>
      <color rgb="FFFFC9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outlinePr summaryBelow="0" summaryRight="0"/>
    <pageSetUpPr fitToPage="1"/>
  </sheetPr>
  <dimension ref="A1:N1000"/>
  <sheetViews>
    <sheetView workbookViewId="0"/>
  </sheetViews>
  <sheetFormatPr defaultColWidth="12.6328125" defaultRowHeight="15.75" customHeight="1" x14ac:dyDescent="0.25"/>
  <cols>
    <col min="1" max="1" width="17.81640625" customWidth="1"/>
    <col min="2" max="2" width="6.7265625" customWidth="1"/>
    <col min="3" max="3" width="8.1796875" customWidth="1"/>
    <col min="4" max="13" width="7.6328125" customWidth="1"/>
    <col min="14" max="14" width="5.08984375" customWidth="1"/>
  </cols>
  <sheetData>
    <row r="1" spans="1:14" ht="15.75" customHeight="1" thickTop="1" thickBot="1" x14ac:dyDescent="0.3">
      <c r="A1" s="101" t="s">
        <v>0</v>
      </c>
      <c r="B1" s="102" t="s">
        <v>1</v>
      </c>
      <c r="C1" s="103" t="s">
        <v>2</v>
      </c>
      <c r="D1" s="104" t="s">
        <v>3</v>
      </c>
      <c r="E1" s="104" t="s">
        <v>4</v>
      </c>
      <c r="F1" s="108" t="s">
        <v>5</v>
      </c>
      <c r="G1" s="105" t="s">
        <v>6</v>
      </c>
      <c r="H1" s="105" t="s">
        <v>7</v>
      </c>
      <c r="I1" s="106" t="s">
        <v>8</v>
      </c>
      <c r="J1" s="106" t="s">
        <v>9</v>
      </c>
      <c r="K1" s="106" t="s">
        <v>10</v>
      </c>
      <c r="L1" s="106" t="s">
        <v>11</v>
      </c>
      <c r="M1" s="107" t="s">
        <v>12</v>
      </c>
      <c r="N1" s="48" t="s">
        <v>13</v>
      </c>
    </row>
    <row r="2" spans="1:14" ht="15.75" customHeight="1" thickBot="1" x14ac:dyDescent="0.3">
      <c r="A2" s="94" t="s">
        <v>14</v>
      </c>
      <c r="B2" s="95">
        <v>2.7430555555555554E-3</v>
      </c>
      <c r="C2" s="96"/>
      <c r="D2" s="97" t="s">
        <v>15</v>
      </c>
      <c r="E2" s="97" t="s">
        <v>15</v>
      </c>
      <c r="F2" s="97" t="s">
        <v>15</v>
      </c>
      <c r="G2" s="98" t="s">
        <v>15</v>
      </c>
      <c r="H2" s="98" t="s">
        <v>15</v>
      </c>
      <c r="I2" s="99"/>
      <c r="J2" s="109"/>
      <c r="K2" s="109"/>
      <c r="L2" s="99" t="s">
        <v>15</v>
      </c>
      <c r="M2" s="100"/>
      <c r="N2" s="56">
        <f t="shared" ref="N2:N9" si="0">COUNTIF(C2:M2,"◯")</f>
        <v>6</v>
      </c>
    </row>
    <row r="3" spans="1:14" ht="15.75" customHeight="1" x14ac:dyDescent="0.25">
      <c r="A3" s="49" t="s">
        <v>16</v>
      </c>
      <c r="B3" s="50">
        <v>2.4305555555555556E-3</v>
      </c>
      <c r="C3" s="51" t="s">
        <v>15</v>
      </c>
      <c r="D3" s="52" t="s">
        <v>15</v>
      </c>
      <c r="E3" s="52" t="s">
        <v>15</v>
      </c>
      <c r="F3" s="52"/>
      <c r="G3" s="53"/>
      <c r="H3" s="53"/>
      <c r="I3" s="54"/>
      <c r="J3" s="54"/>
      <c r="K3" s="54"/>
      <c r="L3" s="54"/>
      <c r="M3" s="55"/>
      <c r="N3" s="64">
        <f t="shared" si="0"/>
        <v>3</v>
      </c>
    </row>
    <row r="4" spans="1:14" ht="15.75" customHeight="1" x14ac:dyDescent="0.25">
      <c r="A4" s="57" t="s">
        <v>17</v>
      </c>
      <c r="B4" s="58">
        <v>2.1180555555555558E-3</v>
      </c>
      <c r="C4" s="59"/>
      <c r="D4" s="60"/>
      <c r="E4" s="60"/>
      <c r="F4" s="60" t="s">
        <v>15</v>
      </c>
      <c r="G4" s="61" t="s">
        <v>15</v>
      </c>
      <c r="H4" s="61" t="s">
        <v>15</v>
      </c>
      <c r="I4" s="62"/>
      <c r="J4" s="62"/>
      <c r="K4" s="62"/>
      <c r="L4" s="62" t="s">
        <v>15</v>
      </c>
      <c r="M4" s="63" t="s">
        <v>15</v>
      </c>
      <c r="N4" s="64">
        <f t="shared" si="0"/>
        <v>5</v>
      </c>
    </row>
    <row r="5" spans="1:14" ht="15.75" customHeight="1" thickBot="1" x14ac:dyDescent="0.3">
      <c r="A5" s="79" t="s">
        <v>18</v>
      </c>
      <c r="B5" s="80">
        <v>2.5115740740740741E-3</v>
      </c>
      <c r="C5" s="81" t="s">
        <v>15</v>
      </c>
      <c r="D5" s="82" t="s">
        <v>15</v>
      </c>
      <c r="E5" s="82"/>
      <c r="F5" s="82"/>
      <c r="G5" s="110"/>
      <c r="H5" s="110"/>
      <c r="I5" s="84" t="s">
        <v>15</v>
      </c>
      <c r="J5" s="84" t="s">
        <v>15</v>
      </c>
      <c r="K5" s="84" t="s">
        <v>15</v>
      </c>
      <c r="L5" s="84"/>
      <c r="M5" s="85"/>
      <c r="N5" s="64">
        <f t="shared" si="0"/>
        <v>5</v>
      </c>
    </row>
    <row r="6" spans="1:14" ht="15.75" customHeight="1" x14ac:dyDescent="0.25">
      <c r="A6" s="49" t="s">
        <v>19</v>
      </c>
      <c r="B6" s="50">
        <v>2.488425925925926E-3</v>
      </c>
      <c r="C6" s="51"/>
      <c r="D6" s="52"/>
      <c r="E6" s="52" t="s">
        <v>15</v>
      </c>
      <c r="F6" s="52" t="s">
        <v>15</v>
      </c>
      <c r="G6" s="53"/>
      <c r="H6" s="53"/>
      <c r="I6" s="54"/>
      <c r="J6" s="54"/>
      <c r="K6" s="54"/>
      <c r="L6" s="54"/>
      <c r="M6" s="55"/>
      <c r="N6" s="64">
        <f t="shared" si="0"/>
        <v>2</v>
      </c>
    </row>
    <row r="7" spans="1:14" ht="15.75" customHeight="1" x14ac:dyDescent="0.25">
      <c r="A7" s="57" t="s">
        <v>20</v>
      </c>
      <c r="B7" s="58">
        <v>2.0833333333333333E-3</v>
      </c>
      <c r="C7" s="59"/>
      <c r="D7" s="60"/>
      <c r="E7" s="60"/>
      <c r="F7" s="60"/>
      <c r="G7" s="61" t="s">
        <v>15</v>
      </c>
      <c r="H7" s="61" t="s">
        <v>15</v>
      </c>
      <c r="I7" s="62"/>
      <c r="J7" s="62"/>
      <c r="K7" s="62"/>
      <c r="L7" s="62"/>
      <c r="M7" s="63"/>
      <c r="N7" s="64">
        <f t="shared" si="0"/>
        <v>2</v>
      </c>
    </row>
    <row r="8" spans="1:14" ht="15.75" customHeight="1" thickBot="1" x14ac:dyDescent="0.3">
      <c r="A8" s="93" t="s">
        <v>54</v>
      </c>
      <c r="B8" s="80">
        <v>2.7430555555555554E-3</v>
      </c>
      <c r="C8" s="81" t="s">
        <v>15</v>
      </c>
      <c r="D8" s="111"/>
      <c r="E8" s="82" t="s">
        <v>15</v>
      </c>
      <c r="F8" s="82" t="s">
        <v>15</v>
      </c>
      <c r="G8" s="83"/>
      <c r="H8" s="83"/>
      <c r="I8" s="84"/>
      <c r="J8" s="84"/>
      <c r="K8" s="84"/>
      <c r="L8" s="84"/>
      <c r="M8" s="85" t="s">
        <v>15</v>
      </c>
      <c r="N8" s="64">
        <f t="shared" si="0"/>
        <v>4</v>
      </c>
    </row>
    <row r="9" spans="1:14" ht="15.75" customHeight="1" thickBot="1" x14ac:dyDescent="0.3">
      <c r="A9" s="86" t="s">
        <v>21</v>
      </c>
      <c r="B9" s="87">
        <v>1.5625000000000001E-3</v>
      </c>
      <c r="C9" s="88" t="s">
        <v>15</v>
      </c>
      <c r="D9" s="89" t="s">
        <v>15</v>
      </c>
      <c r="E9" s="89" t="s">
        <v>15</v>
      </c>
      <c r="F9" s="89" t="s">
        <v>15</v>
      </c>
      <c r="G9" s="90" t="s">
        <v>15</v>
      </c>
      <c r="H9" s="90" t="s">
        <v>15</v>
      </c>
      <c r="I9" s="91" t="s">
        <v>15</v>
      </c>
      <c r="J9" s="91" t="s">
        <v>15</v>
      </c>
      <c r="K9" s="91" t="s">
        <v>15</v>
      </c>
      <c r="L9" s="91" t="s">
        <v>15</v>
      </c>
      <c r="M9" s="92" t="s">
        <v>15</v>
      </c>
      <c r="N9" s="65">
        <f t="shared" si="0"/>
        <v>11</v>
      </c>
    </row>
    <row r="10" spans="1:14" ht="15.75" customHeight="1" x14ac:dyDescent="0.25">
      <c r="A10" s="66" t="s">
        <v>22</v>
      </c>
      <c r="B10" s="67">
        <f>SUM(B2:B9)</f>
        <v>1.8680555555555554E-2</v>
      </c>
      <c r="C10" s="69">
        <f t="shared" ref="C10:M10" si="1">COUNTIF(C2:C9,"◯")</f>
        <v>4</v>
      </c>
      <c r="D10" s="70">
        <f t="shared" si="1"/>
        <v>4</v>
      </c>
      <c r="E10" s="70">
        <f t="shared" si="1"/>
        <v>5</v>
      </c>
      <c r="F10" s="70">
        <f t="shared" si="1"/>
        <v>5</v>
      </c>
      <c r="G10" s="71">
        <f t="shared" si="1"/>
        <v>4</v>
      </c>
      <c r="H10" s="71">
        <f t="shared" si="1"/>
        <v>4</v>
      </c>
      <c r="I10" s="72">
        <f t="shared" si="1"/>
        <v>2</v>
      </c>
      <c r="J10" s="72">
        <f t="shared" si="1"/>
        <v>2</v>
      </c>
      <c r="K10" s="72">
        <f t="shared" si="1"/>
        <v>2</v>
      </c>
      <c r="L10" s="72">
        <f t="shared" si="1"/>
        <v>3</v>
      </c>
      <c r="M10" s="73">
        <f t="shared" si="1"/>
        <v>3</v>
      </c>
      <c r="N10" s="68"/>
    </row>
    <row r="11" spans="1:14" ht="15.75" customHeight="1" x14ac:dyDescent="0.25">
      <c r="B11" s="1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4" ht="15.75" customHeight="1" x14ac:dyDescent="0.25">
      <c r="B12" s="1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4" ht="15.75" customHeight="1" x14ac:dyDescent="0.25">
      <c r="B13" s="1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4" ht="15.75" customHeight="1" x14ac:dyDescent="0.25">
      <c r="B14" s="1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4" ht="15.75" customHeight="1" x14ac:dyDescent="0.25">
      <c r="B15" s="1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4" ht="15.75" customHeight="1" x14ac:dyDescent="0.25">
      <c r="B16" s="1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2:13" ht="15.75" customHeight="1" x14ac:dyDescent="0.25">
      <c r="B17" s="1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2:13" ht="15.75" customHeight="1" x14ac:dyDescent="0.25">
      <c r="B18" s="1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2:13" ht="15.75" customHeight="1" x14ac:dyDescent="0.25">
      <c r="B19" s="1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2:13" ht="15.75" customHeight="1" x14ac:dyDescent="0.25">
      <c r="B20" s="1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2:13" ht="15.75" customHeight="1" x14ac:dyDescent="0.25">
      <c r="B21" s="1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2:13" ht="15.75" customHeight="1" x14ac:dyDescent="0.25">
      <c r="B22" s="1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2:13" ht="15.75" customHeight="1" x14ac:dyDescent="0.25">
      <c r="B23" s="1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2:13" ht="12.5" x14ac:dyDescent="0.25">
      <c r="B24" s="1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2:13" ht="12.5" x14ac:dyDescent="0.25">
      <c r="B25" s="1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2:13" ht="12.5" x14ac:dyDescent="0.25">
      <c r="B26" s="1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3" ht="12.5" x14ac:dyDescent="0.25">
      <c r="B27" s="1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2:13" ht="12.5" x14ac:dyDescent="0.25">
      <c r="B28" s="1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2:13" ht="12.5" x14ac:dyDescent="0.25">
      <c r="B29" s="1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2:13" ht="12.5" x14ac:dyDescent="0.25">
      <c r="B30" s="1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2:13" ht="12.5" x14ac:dyDescent="0.25">
      <c r="B31" s="1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2:13" ht="12.5" x14ac:dyDescent="0.25">
      <c r="B32" s="1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2:13" ht="12.5" x14ac:dyDescent="0.25">
      <c r="B33" s="1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2:13" ht="12.5" x14ac:dyDescent="0.25">
      <c r="B34" s="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2:13" ht="12.5" x14ac:dyDescent="0.25">
      <c r="B35" s="1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2:13" ht="12.5" x14ac:dyDescent="0.25">
      <c r="B36" s="1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2:13" ht="12.5" x14ac:dyDescent="0.25">
      <c r="B37" s="1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2:13" ht="12.5" x14ac:dyDescent="0.25">
      <c r="B38" s="1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2:13" ht="12.5" x14ac:dyDescent="0.25">
      <c r="B39" s="1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2:13" ht="12.5" x14ac:dyDescent="0.25">
      <c r="B40" s="1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2:13" ht="12.5" x14ac:dyDescent="0.25">
      <c r="B41" s="1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2:13" ht="12.5" x14ac:dyDescent="0.25">
      <c r="B42" s="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2:13" ht="12.5" x14ac:dyDescent="0.25">
      <c r="B43" s="1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2:13" ht="12.5" x14ac:dyDescent="0.25">
      <c r="B44" s="1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2:13" ht="12.5" x14ac:dyDescent="0.25">
      <c r="B45" s="1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2:13" ht="12.5" x14ac:dyDescent="0.25">
      <c r="B46" s="1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2:13" ht="12.5" x14ac:dyDescent="0.25">
      <c r="B47" s="1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2:13" ht="12.5" x14ac:dyDescent="0.25">
      <c r="B48" s="1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13" ht="12.5" x14ac:dyDescent="0.25">
      <c r="B49" s="1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2:13" ht="12.5" x14ac:dyDescent="0.25">
      <c r="B50" s="1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2:13" ht="12.5" x14ac:dyDescent="0.25">
      <c r="B51" s="1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2:13" ht="12.5" x14ac:dyDescent="0.25">
      <c r="B52" s="1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2:13" ht="12.5" x14ac:dyDescent="0.25"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2:13" ht="12.5" x14ac:dyDescent="0.25">
      <c r="B54" s="1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2:13" ht="12.5" x14ac:dyDescent="0.25"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2:13" ht="12.5" x14ac:dyDescent="0.25">
      <c r="B56" s="1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2:13" ht="12.5" x14ac:dyDescent="0.25">
      <c r="B57" s="1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2:13" ht="12.5" x14ac:dyDescent="0.25">
      <c r="B58" s="1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2:13" ht="12.5" x14ac:dyDescent="0.25">
      <c r="B59" s="1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2:13" ht="12.5" x14ac:dyDescent="0.25"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2:13" ht="12.5" x14ac:dyDescent="0.25">
      <c r="B61" s="1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2:13" ht="12.5" x14ac:dyDescent="0.25">
      <c r="B62" s="1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2:13" ht="12.5" x14ac:dyDescent="0.25"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2:13" ht="12.5" x14ac:dyDescent="0.25">
      <c r="B64" s="1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2:13" ht="12.5" x14ac:dyDescent="0.25">
      <c r="B65" s="1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2:13" ht="12.5" x14ac:dyDescent="0.25"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2:13" ht="12.5" x14ac:dyDescent="0.25"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2:13" ht="12.5" x14ac:dyDescent="0.25">
      <c r="B68" s="1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2:13" ht="12.5" x14ac:dyDescent="0.25">
      <c r="B69" s="1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2:13" ht="12.5" x14ac:dyDescent="0.25">
      <c r="B70" s="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2:13" ht="12.5" x14ac:dyDescent="0.25">
      <c r="B71" s="1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2:13" ht="12.5" x14ac:dyDescent="0.25">
      <c r="B72" s="1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2:13" ht="12.5" x14ac:dyDescent="0.25">
      <c r="B73" s="1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2:13" ht="12.5" x14ac:dyDescent="0.25"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2:13" ht="12.5" x14ac:dyDescent="0.25">
      <c r="B75" s="1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2:13" ht="12.5" x14ac:dyDescent="0.25"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2:13" ht="12.5" x14ac:dyDescent="0.25"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2:13" ht="12.5" x14ac:dyDescent="0.25">
      <c r="B78" s="1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2:13" ht="12.5" x14ac:dyDescent="0.25"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2:13" ht="12.5" x14ac:dyDescent="0.25">
      <c r="B80" s="1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2:13" ht="12.5" x14ac:dyDescent="0.25">
      <c r="B81" s="1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2:13" ht="12.5" x14ac:dyDescent="0.25">
      <c r="B82" s="1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2:13" ht="12.5" x14ac:dyDescent="0.25">
      <c r="B83" s="1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2:13" ht="12.5" x14ac:dyDescent="0.25">
      <c r="B84" s="1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2:13" ht="12.5" x14ac:dyDescent="0.25">
      <c r="B85" s="1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2:13" ht="12.5" x14ac:dyDescent="0.25">
      <c r="B86" s="1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2:13" ht="12.5" x14ac:dyDescent="0.25">
      <c r="B87" s="1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2:13" ht="12.5" x14ac:dyDescent="0.25">
      <c r="B88" s="1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2:13" ht="12.5" x14ac:dyDescent="0.25">
      <c r="B89" s="1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2:13" ht="12.5" x14ac:dyDescent="0.25">
      <c r="B90" s="1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2:13" ht="12.5" x14ac:dyDescent="0.25">
      <c r="B91" s="1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2:13" ht="12.5" x14ac:dyDescent="0.25">
      <c r="B92" s="1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2:13" ht="12.5" x14ac:dyDescent="0.25">
      <c r="B93" s="1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2:13" ht="12.5" x14ac:dyDescent="0.25">
      <c r="B94" s="1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2:13" ht="12.5" x14ac:dyDescent="0.25">
      <c r="B95" s="1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2:13" ht="12.5" x14ac:dyDescent="0.25">
      <c r="B96" s="1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2:13" ht="12.5" x14ac:dyDescent="0.25">
      <c r="B97" s="1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2:13" ht="12.5" x14ac:dyDescent="0.25">
      <c r="B98" s="1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2:13" ht="12.5" x14ac:dyDescent="0.25">
      <c r="B99" s="1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2:13" ht="12.5" x14ac:dyDescent="0.25">
      <c r="B100" s="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2:13" ht="12.5" x14ac:dyDescent="0.25">
      <c r="B101" s="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2:13" ht="12.5" x14ac:dyDescent="0.25">
      <c r="B102" s="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2:13" ht="12.5" x14ac:dyDescent="0.25">
      <c r="B103" s="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2:13" ht="12.5" x14ac:dyDescent="0.25">
      <c r="B104" s="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2:13" ht="12.5" x14ac:dyDescent="0.25">
      <c r="B105" s="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3" ht="12.5" x14ac:dyDescent="0.25">
      <c r="B106" s="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2:13" ht="12.5" x14ac:dyDescent="0.25">
      <c r="B107" s="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2:13" ht="12.5" x14ac:dyDescent="0.25">
      <c r="B108" s="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2:13" ht="12.5" x14ac:dyDescent="0.25">
      <c r="B109" s="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2:13" ht="12.5" x14ac:dyDescent="0.25">
      <c r="B110" s="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2:13" ht="12.5" x14ac:dyDescent="0.25">
      <c r="B111" s="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2:13" ht="12.5" x14ac:dyDescent="0.25">
      <c r="B112" s="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2:13" ht="12.5" x14ac:dyDescent="0.25">
      <c r="B113" s="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2:13" ht="12.5" x14ac:dyDescent="0.25">
      <c r="B114" s="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2:13" ht="12.5" x14ac:dyDescent="0.25">
      <c r="B115" s="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2:13" ht="12.5" x14ac:dyDescent="0.25">
      <c r="B116" s="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2:13" ht="12.5" x14ac:dyDescent="0.25">
      <c r="B117" s="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2:13" ht="12.5" x14ac:dyDescent="0.25">
      <c r="B118" s="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2:13" ht="12.5" x14ac:dyDescent="0.25">
      <c r="B119" s="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2:13" ht="12.5" x14ac:dyDescent="0.25">
      <c r="B120" s="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2:13" ht="12.5" x14ac:dyDescent="0.25">
      <c r="B121" s="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2:13" ht="12.5" x14ac:dyDescent="0.25">
      <c r="B122" s="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2:13" ht="12.5" x14ac:dyDescent="0.25">
      <c r="B123" s="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2:13" ht="12.5" x14ac:dyDescent="0.25">
      <c r="B124" s="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2:13" ht="12.5" x14ac:dyDescent="0.25">
      <c r="B125" s="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2:13" ht="12.5" x14ac:dyDescent="0.25">
      <c r="B126" s="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2:13" ht="12.5" x14ac:dyDescent="0.25">
      <c r="B127" s="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2:13" ht="12.5" x14ac:dyDescent="0.25">
      <c r="B128" s="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2:13" ht="12.5" x14ac:dyDescent="0.25">
      <c r="B129" s="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2:13" ht="12.5" x14ac:dyDescent="0.25">
      <c r="B130" s="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2:13" ht="12.5" x14ac:dyDescent="0.25">
      <c r="B131" s="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2:13" ht="12.5" x14ac:dyDescent="0.25">
      <c r="B132" s="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2:13" ht="12.5" x14ac:dyDescent="0.25">
      <c r="B133" s="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2:13" ht="12.5" x14ac:dyDescent="0.25">
      <c r="B134" s="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2:13" ht="12.5" x14ac:dyDescent="0.25">
      <c r="B135" s="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2:13" ht="12.5" x14ac:dyDescent="0.25">
      <c r="B136" s="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2:13" ht="12.5" x14ac:dyDescent="0.25">
      <c r="B137" s="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2:13" ht="12.5" x14ac:dyDescent="0.25">
      <c r="B138" s="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2:13" ht="12.5" x14ac:dyDescent="0.25">
      <c r="B139" s="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2:13" ht="12.5" x14ac:dyDescent="0.25">
      <c r="B140" s="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2:13" ht="12.5" x14ac:dyDescent="0.25">
      <c r="B141" s="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2:13" ht="12.5" x14ac:dyDescent="0.25">
      <c r="B142" s="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2:13" ht="12.5" x14ac:dyDescent="0.25">
      <c r="B143" s="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2:13" ht="12.5" x14ac:dyDescent="0.25">
      <c r="B144" s="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2:13" ht="12.5" x14ac:dyDescent="0.25">
      <c r="B145" s="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2:13" ht="12.5" x14ac:dyDescent="0.25">
      <c r="B146" s="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2:13" ht="12.5" x14ac:dyDescent="0.25">
      <c r="B147" s="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2:13" ht="12.5" x14ac:dyDescent="0.25">
      <c r="B148" s="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2:13" ht="12.5" x14ac:dyDescent="0.25">
      <c r="B149" s="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2:13" ht="12.5" x14ac:dyDescent="0.25">
      <c r="B150" s="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2:13" ht="12.5" x14ac:dyDescent="0.25">
      <c r="B151" s="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2:13" ht="12.5" x14ac:dyDescent="0.25">
      <c r="B152" s="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2:13" ht="12.5" x14ac:dyDescent="0.25">
      <c r="B153" s="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2:13" ht="12.5" x14ac:dyDescent="0.25">
      <c r="B154" s="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2:13" ht="12.5" x14ac:dyDescent="0.25">
      <c r="B155" s="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2:13" ht="12.5" x14ac:dyDescent="0.25">
      <c r="B156" s="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2:13" ht="12.5" x14ac:dyDescent="0.25">
      <c r="B157" s="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2:13" ht="12.5" x14ac:dyDescent="0.25">
      <c r="B158" s="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2:13" ht="12.5" x14ac:dyDescent="0.25">
      <c r="B159" s="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2:13" ht="12.5" x14ac:dyDescent="0.25">
      <c r="B160" s="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2:13" ht="12.5" x14ac:dyDescent="0.25">
      <c r="B161" s="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2:13" ht="12.5" x14ac:dyDescent="0.25">
      <c r="B162" s="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2:13" ht="12.5" x14ac:dyDescent="0.25">
      <c r="B163" s="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2:13" ht="12.5" x14ac:dyDescent="0.25">
      <c r="B164" s="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2:13" ht="12.5" x14ac:dyDescent="0.25">
      <c r="B165" s="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2:13" ht="12.5" x14ac:dyDescent="0.25">
      <c r="B166" s="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2:13" ht="12.5" x14ac:dyDescent="0.25">
      <c r="B167" s="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2:13" ht="12.5" x14ac:dyDescent="0.25">
      <c r="B168" s="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2:13" ht="12.5" x14ac:dyDescent="0.25">
      <c r="B169" s="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2:13" ht="12.5" x14ac:dyDescent="0.25">
      <c r="B170" s="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2:13" ht="12.5" x14ac:dyDescent="0.25">
      <c r="B171" s="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2:13" ht="12.5" x14ac:dyDescent="0.25">
      <c r="B172" s="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2:13" ht="12.5" x14ac:dyDescent="0.25">
      <c r="B173" s="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2:13" ht="12.5" x14ac:dyDescent="0.25">
      <c r="B174" s="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2:13" ht="12.5" x14ac:dyDescent="0.25">
      <c r="B175" s="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2:13" ht="12.5" x14ac:dyDescent="0.25">
      <c r="B176" s="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2:13" ht="12.5" x14ac:dyDescent="0.25">
      <c r="B177" s="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2:13" ht="12.5" x14ac:dyDescent="0.25">
      <c r="B178" s="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2:13" ht="12.5" x14ac:dyDescent="0.25">
      <c r="B179" s="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2:13" ht="12.5" x14ac:dyDescent="0.25">
      <c r="B180" s="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2:13" ht="12.5" x14ac:dyDescent="0.25">
      <c r="B181" s="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2:13" ht="12.5" x14ac:dyDescent="0.25">
      <c r="B182" s="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2:13" ht="12.5" x14ac:dyDescent="0.25">
      <c r="B183" s="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2:13" ht="12.5" x14ac:dyDescent="0.25">
      <c r="B184" s="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2:13" ht="12.5" x14ac:dyDescent="0.25">
      <c r="B185" s="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2:13" ht="12.5" x14ac:dyDescent="0.25">
      <c r="B186" s="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2:13" ht="12.5" x14ac:dyDescent="0.25">
      <c r="B187" s="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2:13" ht="12.5" x14ac:dyDescent="0.25">
      <c r="B188" s="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2:13" ht="12.5" x14ac:dyDescent="0.25">
      <c r="B189" s="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2:13" ht="12.5" x14ac:dyDescent="0.25">
      <c r="B190" s="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2:13" ht="12.5" x14ac:dyDescent="0.25">
      <c r="B191" s="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2:13" ht="12.5" x14ac:dyDescent="0.25">
      <c r="B192" s="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2:13" ht="12.5" x14ac:dyDescent="0.25">
      <c r="B193" s="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2:13" ht="12.5" x14ac:dyDescent="0.25">
      <c r="B194" s="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2:13" ht="12.5" x14ac:dyDescent="0.25">
      <c r="B195" s="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2:13" ht="12.5" x14ac:dyDescent="0.25">
      <c r="B196" s="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2:13" ht="12.5" x14ac:dyDescent="0.25">
      <c r="B197" s="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2:13" ht="12.5" x14ac:dyDescent="0.25">
      <c r="B198" s="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2:13" ht="12.5" x14ac:dyDescent="0.25">
      <c r="B199" s="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2:13" ht="12.5" x14ac:dyDescent="0.25">
      <c r="B200" s="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2:13" ht="12.5" x14ac:dyDescent="0.25">
      <c r="B201" s="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2:13" ht="12.5" x14ac:dyDescent="0.25">
      <c r="B202" s="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spans="2:13" ht="12.5" x14ac:dyDescent="0.25">
      <c r="B203" s="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  <row r="204" spans="2:13" ht="12.5" x14ac:dyDescent="0.25">
      <c r="B204" s="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</row>
    <row r="205" spans="2:13" ht="12.5" x14ac:dyDescent="0.25">
      <c r="B205" s="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</row>
    <row r="206" spans="2:13" ht="12.5" x14ac:dyDescent="0.25">
      <c r="B206" s="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</row>
    <row r="207" spans="2:13" ht="12.5" x14ac:dyDescent="0.25">
      <c r="B207" s="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</row>
    <row r="208" spans="2:13" ht="12.5" x14ac:dyDescent="0.25">
      <c r="B208" s="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</row>
    <row r="209" spans="2:13" ht="12.5" x14ac:dyDescent="0.25">
      <c r="B209" s="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</row>
    <row r="210" spans="2:13" ht="12.5" x14ac:dyDescent="0.25">
      <c r="B210" s="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</row>
    <row r="211" spans="2:13" ht="12.5" x14ac:dyDescent="0.25">
      <c r="B211" s="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</row>
    <row r="212" spans="2:13" ht="12.5" x14ac:dyDescent="0.25">
      <c r="B212" s="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</row>
    <row r="213" spans="2:13" ht="12.5" x14ac:dyDescent="0.25">
      <c r="B213" s="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</row>
    <row r="214" spans="2:13" ht="12.5" x14ac:dyDescent="0.25">
      <c r="B214" s="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</row>
    <row r="215" spans="2:13" ht="12.5" x14ac:dyDescent="0.25">
      <c r="B215" s="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</row>
    <row r="216" spans="2:13" ht="12.5" x14ac:dyDescent="0.25">
      <c r="B216" s="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</row>
    <row r="217" spans="2:13" ht="12.5" x14ac:dyDescent="0.25">
      <c r="B217" s="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</row>
    <row r="218" spans="2:13" ht="12.5" x14ac:dyDescent="0.25">
      <c r="B218" s="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</row>
    <row r="219" spans="2:13" ht="12.5" x14ac:dyDescent="0.25">
      <c r="B219" s="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</row>
    <row r="220" spans="2:13" ht="12.5" x14ac:dyDescent="0.25">
      <c r="B220" s="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</row>
    <row r="221" spans="2:13" ht="12.5" x14ac:dyDescent="0.25">
      <c r="B221" s="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</row>
    <row r="222" spans="2:13" ht="12.5" x14ac:dyDescent="0.25">
      <c r="B222" s="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</row>
    <row r="223" spans="2:13" ht="12.5" x14ac:dyDescent="0.25">
      <c r="B223" s="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spans="2:13" ht="12.5" x14ac:dyDescent="0.25">
      <c r="B224" s="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spans="2:13" ht="12.5" x14ac:dyDescent="0.25">
      <c r="B225" s="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spans="2:13" ht="12.5" x14ac:dyDescent="0.25">
      <c r="B226" s="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spans="2:13" ht="12.5" x14ac:dyDescent="0.25">
      <c r="B227" s="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spans="2:13" ht="12.5" x14ac:dyDescent="0.25">
      <c r="B228" s="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spans="2:13" ht="12.5" x14ac:dyDescent="0.25">
      <c r="B229" s="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spans="2:13" ht="12.5" x14ac:dyDescent="0.25">
      <c r="B230" s="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spans="2:13" ht="12.5" x14ac:dyDescent="0.25">
      <c r="B231" s="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spans="2:13" ht="12.5" x14ac:dyDescent="0.25">
      <c r="B232" s="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spans="2:13" ht="12.5" x14ac:dyDescent="0.25">
      <c r="B233" s="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spans="2:13" ht="12.5" x14ac:dyDescent="0.25">
      <c r="B234" s="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spans="2:13" ht="12.5" x14ac:dyDescent="0.25">
      <c r="B235" s="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spans="2:13" ht="12.5" x14ac:dyDescent="0.25">
      <c r="B236" s="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spans="2:13" ht="12.5" x14ac:dyDescent="0.25">
      <c r="B237" s="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spans="2:13" ht="12.5" x14ac:dyDescent="0.25">
      <c r="B238" s="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spans="2:13" ht="12.5" x14ac:dyDescent="0.25">
      <c r="B239" s="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spans="2:13" ht="12.5" x14ac:dyDescent="0.25">
      <c r="B240" s="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spans="2:13" ht="12.5" x14ac:dyDescent="0.25">
      <c r="B241" s="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spans="2:13" ht="12.5" x14ac:dyDescent="0.25">
      <c r="B242" s="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spans="2:13" ht="12.5" x14ac:dyDescent="0.25">
      <c r="B243" s="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spans="2:13" ht="12.5" x14ac:dyDescent="0.25">
      <c r="B244" s="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spans="2:13" ht="12.5" x14ac:dyDescent="0.25">
      <c r="B245" s="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spans="2:13" ht="12.5" x14ac:dyDescent="0.25">
      <c r="B246" s="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spans="2:13" ht="12.5" x14ac:dyDescent="0.25">
      <c r="B247" s="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spans="2:13" ht="12.5" x14ac:dyDescent="0.25">
      <c r="B248" s="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spans="2:13" ht="12.5" x14ac:dyDescent="0.25">
      <c r="B249" s="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spans="2:13" ht="12.5" x14ac:dyDescent="0.25">
      <c r="B250" s="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spans="2:13" ht="12.5" x14ac:dyDescent="0.25">
      <c r="B251" s="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spans="2:13" ht="12.5" x14ac:dyDescent="0.25">
      <c r="B252" s="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spans="2:13" ht="12.5" x14ac:dyDescent="0.25">
      <c r="B253" s="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spans="2:13" ht="12.5" x14ac:dyDescent="0.25">
      <c r="B254" s="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spans="2:13" ht="12.5" x14ac:dyDescent="0.25">
      <c r="B255" s="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spans="2:13" ht="12.5" x14ac:dyDescent="0.25">
      <c r="B256" s="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spans="2:13" ht="12.5" x14ac:dyDescent="0.25">
      <c r="B257" s="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spans="2:13" ht="12.5" x14ac:dyDescent="0.25">
      <c r="B258" s="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spans="2:13" ht="12.5" x14ac:dyDescent="0.25">
      <c r="B259" s="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spans="2:13" ht="12.5" x14ac:dyDescent="0.25">
      <c r="B260" s="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spans="2:13" ht="12.5" x14ac:dyDescent="0.25">
      <c r="B261" s="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spans="2:13" ht="12.5" x14ac:dyDescent="0.25">
      <c r="B262" s="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spans="2:13" ht="12.5" x14ac:dyDescent="0.25">
      <c r="B263" s="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spans="2:13" ht="12.5" x14ac:dyDescent="0.25">
      <c r="B264" s="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spans="2:13" ht="12.5" x14ac:dyDescent="0.25">
      <c r="B265" s="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spans="2:13" ht="12.5" x14ac:dyDescent="0.25">
      <c r="B266" s="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spans="2:13" ht="12.5" x14ac:dyDescent="0.25">
      <c r="B267" s="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spans="2:13" ht="12.5" x14ac:dyDescent="0.25">
      <c r="B268" s="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spans="2:13" ht="12.5" x14ac:dyDescent="0.25">
      <c r="B269" s="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spans="2:13" ht="12.5" x14ac:dyDescent="0.25">
      <c r="B270" s="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spans="2:13" ht="12.5" x14ac:dyDescent="0.25">
      <c r="B271" s="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spans="2:13" ht="12.5" x14ac:dyDescent="0.25">
      <c r="B272" s="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spans="2:13" ht="12.5" x14ac:dyDescent="0.25">
      <c r="B273" s="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spans="2:13" ht="12.5" x14ac:dyDescent="0.25">
      <c r="B274" s="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spans="2:13" ht="12.5" x14ac:dyDescent="0.25">
      <c r="B275" s="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spans="2:13" ht="12.5" x14ac:dyDescent="0.25">
      <c r="B276" s="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spans="2:13" ht="12.5" x14ac:dyDescent="0.25">
      <c r="B277" s="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spans="2:13" ht="12.5" x14ac:dyDescent="0.25">
      <c r="B278" s="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spans="2:13" ht="12.5" x14ac:dyDescent="0.25">
      <c r="B279" s="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spans="2:13" ht="12.5" x14ac:dyDescent="0.25">
      <c r="B280" s="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spans="2:13" ht="12.5" x14ac:dyDescent="0.25">
      <c r="B281" s="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spans="2:13" ht="12.5" x14ac:dyDescent="0.25">
      <c r="B282" s="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spans="2:13" ht="12.5" x14ac:dyDescent="0.25">
      <c r="B283" s="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spans="2:13" ht="12.5" x14ac:dyDescent="0.25">
      <c r="B284" s="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spans="2:13" ht="12.5" x14ac:dyDescent="0.25">
      <c r="B285" s="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spans="2:13" ht="12.5" x14ac:dyDescent="0.25">
      <c r="B286" s="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spans="2:13" ht="12.5" x14ac:dyDescent="0.25">
      <c r="B287" s="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spans="2:13" ht="12.5" x14ac:dyDescent="0.25">
      <c r="B288" s="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spans="2:13" ht="12.5" x14ac:dyDescent="0.25">
      <c r="B289" s="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spans="2:13" ht="12.5" x14ac:dyDescent="0.25">
      <c r="B290" s="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spans="2:13" ht="12.5" x14ac:dyDescent="0.25">
      <c r="B291" s="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spans="2:13" ht="12.5" x14ac:dyDescent="0.25">
      <c r="B292" s="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spans="2:13" ht="12.5" x14ac:dyDescent="0.25">
      <c r="B293" s="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spans="2:13" ht="12.5" x14ac:dyDescent="0.25">
      <c r="B294" s="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spans="2:13" ht="12.5" x14ac:dyDescent="0.25">
      <c r="B295" s="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spans="2:13" ht="12.5" x14ac:dyDescent="0.25">
      <c r="B296" s="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spans="2:13" ht="12.5" x14ac:dyDescent="0.25">
      <c r="B297" s="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spans="2:13" ht="12.5" x14ac:dyDescent="0.25">
      <c r="B298" s="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spans="2:13" ht="12.5" x14ac:dyDescent="0.25">
      <c r="B299" s="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spans="2:13" ht="12.5" x14ac:dyDescent="0.25">
      <c r="B300" s="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spans="2:13" ht="12.5" x14ac:dyDescent="0.25">
      <c r="B301" s="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spans="2:13" ht="12.5" x14ac:dyDescent="0.25">
      <c r="B302" s="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spans="2:13" ht="12.5" x14ac:dyDescent="0.25">
      <c r="B303" s="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spans="2:13" ht="12.5" x14ac:dyDescent="0.25">
      <c r="B304" s="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spans="2:13" ht="12.5" x14ac:dyDescent="0.25">
      <c r="B305" s="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spans="2:13" ht="12.5" x14ac:dyDescent="0.25">
      <c r="B306" s="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spans="2:13" ht="12.5" x14ac:dyDescent="0.25">
      <c r="B307" s="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spans="2:13" ht="12.5" x14ac:dyDescent="0.25">
      <c r="B308" s="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spans="2:13" ht="12.5" x14ac:dyDescent="0.25">
      <c r="B309" s="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spans="2:13" ht="12.5" x14ac:dyDescent="0.25">
      <c r="B310" s="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spans="2:13" ht="12.5" x14ac:dyDescent="0.25">
      <c r="B311" s="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spans="2:13" ht="12.5" x14ac:dyDescent="0.25">
      <c r="B312" s="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spans="2:13" ht="12.5" x14ac:dyDescent="0.25">
      <c r="B313" s="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spans="2:13" ht="12.5" x14ac:dyDescent="0.25">
      <c r="B314" s="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spans="2:13" ht="12.5" x14ac:dyDescent="0.25">
      <c r="B315" s="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spans="2:13" ht="12.5" x14ac:dyDescent="0.25">
      <c r="B316" s="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spans="2:13" ht="12.5" x14ac:dyDescent="0.25">
      <c r="B317" s="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spans="2:13" ht="12.5" x14ac:dyDescent="0.25">
      <c r="B318" s="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spans="2:13" ht="12.5" x14ac:dyDescent="0.25">
      <c r="B319" s="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spans="2:13" ht="12.5" x14ac:dyDescent="0.25">
      <c r="B320" s="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spans="2:13" ht="12.5" x14ac:dyDescent="0.25">
      <c r="B321" s="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spans="2:13" ht="12.5" x14ac:dyDescent="0.25">
      <c r="B322" s="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spans="2:13" ht="12.5" x14ac:dyDescent="0.25">
      <c r="B323" s="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spans="2:13" ht="12.5" x14ac:dyDescent="0.25">
      <c r="B324" s="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spans="2:13" ht="12.5" x14ac:dyDescent="0.25">
      <c r="B325" s="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spans="2:13" ht="12.5" x14ac:dyDescent="0.25">
      <c r="B326" s="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spans="2:13" ht="12.5" x14ac:dyDescent="0.25">
      <c r="B327" s="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spans="2:13" ht="12.5" x14ac:dyDescent="0.25">
      <c r="B328" s="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spans="2:13" ht="12.5" x14ac:dyDescent="0.25">
      <c r="B329" s="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spans="2:13" ht="12.5" x14ac:dyDescent="0.25">
      <c r="B330" s="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spans="2:13" ht="12.5" x14ac:dyDescent="0.25">
      <c r="B331" s="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spans="2:13" ht="12.5" x14ac:dyDescent="0.25">
      <c r="B332" s="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spans="2:13" ht="12.5" x14ac:dyDescent="0.25">
      <c r="B333" s="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spans="2:13" ht="12.5" x14ac:dyDescent="0.25">
      <c r="B334" s="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spans="2:13" ht="12.5" x14ac:dyDescent="0.25">
      <c r="B335" s="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spans="2:13" ht="12.5" x14ac:dyDescent="0.25">
      <c r="B336" s="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spans="2:13" ht="12.5" x14ac:dyDescent="0.25">
      <c r="B337" s="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spans="2:13" ht="12.5" x14ac:dyDescent="0.25">
      <c r="B338" s="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spans="2:13" ht="12.5" x14ac:dyDescent="0.25">
      <c r="B339" s="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spans="2:13" ht="12.5" x14ac:dyDescent="0.25">
      <c r="B340" s="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spans="2:13" ht="12.5" x14ac:dyDescent="0.25">
      <c r="B341" s="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spans="2:13" ht="12.5" x14ac:dyDescent="0.25">
      <c r="B342" s="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spans="2:13" ht="12.5" x14ac:dyDescent="0.25">
      <c r="B343" s="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spans="2:13" ht="12.5" x14ac:dyDescent="0.25">
      <c r="B344" s="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spans="2:13" ht="12.5" x14ac:dyDescent="0.25">
      <c r="B345" s="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spans="2:13" ht="12.5" x14ac:dyDescent="0.25">
      <c r="B346" s="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spans="2:13" ht="12.5" x14ac:dyDescent="0.25">
      <c r="B347" s="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spans="2:13" ht="12.5" x14ac:dyDescent="0.25">
      <c r="B348" s="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spans="2:13" ht="12.5" x14ac:dyDescent="0.25">
      <c r="B349" s="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spans="2:13" ht="12.5" x14ac:dyDescent="0.25">
      <c r="B350" s="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spans="2:13" ht="12.5" x14ac:dyDescent="0.25">
      <c r="B351" s="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spans="2:13" ht="12.5" x14ac:dyDescent="0.25">
      <c r="B352" s="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spans="2:13" ht="12.5" x14ac:dyDescent="0.25">
      <c r="B353" s="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spans="2:13" ht="12.5" x14ac:dyDescent="0.25">
      <c r="B354" s="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spans="2:13" ht="12.5" x14ac:dyDescent="0.25">
      <c r="B355" s="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spans="2:13" ht="12.5" x14ac:dyDescent="0.25">
      <c r="B356" s="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spans="2:13" ht="12.5" x14ac:dyDescent="0.25">
      <c r="B357" s="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spans="2:13" ht="12.5" x14ac:dyDescent="0.25">
      <c r="B358" s="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spans="2:13" ht="12.5" x14ac:dyDescent="0.25">
      <c r="B359" s="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spans="2:13" ht="12.5" x14ac:dyDescent="0.25">
      <c r="B360" s="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spans="2:13" ht="12.5" x14ac:dyDescent="0.25">
      <c r="B361" s="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spans="2:13" ht="12.5" x14ac:dyDescent="0.25">
      <c r="B362" s="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spans="2:13" ht="12.5" x14ac:dyDescent="0.25">
      <c r="B363" s="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spans="2:13" ht="12.5" x14ac:dyDescent="0.25">
      <c r="B364" s="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spans="2:13" ht="12.5" x14ac:dyDescent="0.25">
      <c r="B365" s="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spans="2:13" ht="12.5" x14ac:dyDescent="0.25">
      <c r="B366" s="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spans="2:13" ht="12.5" x14ac:dyDescent="0.25">
      <c r="B367" s="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spans="2:13" ht="12.5" x14ac:dyDescent="0.25">
      <c r="B368" s="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spans="2:13" ht="12.5" x14ac:dyDescent="0.25">
      <c r="B369" s="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spans="2:13" ht="12.5" x14ac:dyDescent="0.25">
      <c r="B370" s="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spans="2:13" ht="12.5" x14ac:dyDescent="0.25">
      <c r="B371" s="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spans="2:13" ht="12.5" x14ac:dyDescent="0.25">
      <c r="B372" s="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spans="2:13" ht="12.5" x14ac:dyDescent="0.25">
      <c r="B373" s="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spans="2:13" ht="12.5" x14ac:dyDescent="0.25">
      <c r="B374" s="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spans="2:13" ht="12.5" x14ac:dyDescent="0.25">
      <c r="B375" s="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spans="2:13" ht="12.5" x14ac:dyDescent="0.25">
      <c r="B376" s="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spans="2:13" ht="12.5" x14ac:dyDescent="0.25">
      <c r="B377" s="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spans="2:13" ht="12.5" x14ac:dyDescent="0.25">
      <c r="B378" s="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spans="2:13" ht="12.5" x14ac:dyDescent="0.25">
      <c r="B379" s="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spans="2:13" ht="12.5" x14ac:dyDescent="0.25">
      <c r="B380" s="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spans="2:13" ht="12.5" x14ac:dyDescent="0.25">
      <c r="B381" s="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spans="2:13" ht="12.5" x14ac:dyDescent="0.25">
      <c r="B382" s="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spans="2:13" ht="12.5" x14ac:dyDescent="0.25">
      <c r="B383" s="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spans="2:13" ht="12.5" x14ac:dyDescent="0.25">
      <c r="B384" s="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spans="2:13" ht="12.5" x14ac:dyDescent="0.25">
      <c r="B385" s="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spans="2:13" ht="12.5" x14ac:dyDescent="0.25">
      <c r="B386" s="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spans="2:13" ht="12.5" x14ac:dyDescent="0.25">
      <c r="B387" s="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spans="2:13" ht="12.5" x14ac:dyDescent="0.25">
      <c r="B388" s="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spans="2:13" ht="12.5" x14ac:dyDescent="0.25">
      <c r="B389" s="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spans="2:13" ht="12.5" x14ac:dyDescent="0.25">
      <c r="B390" s="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spans="2:13" ht="12.5" x14ac:dyDescent="0.25">
      <c r="B391" s="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spans="2:13" ht="12.5" x14ac:dyDescent="0.25">
      <c r="B392" s="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spans="2:13" ht="12.5" x14ac:dyDescent="0.25">
      <c r="B393" s="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spans="2:13" ht="12.5" x14ac:dyDescent="0.25">
      <c r="B394" s="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spans="2:13" ht="12.5" x14ac:dyDescent="0.25">
      <c r="B395" s="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spans="2:13" ht="12.5" x14ac:dyDescent="0.25">
      <c r="B396" s="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spans="2:13" ht="12.5" x14ac:dyDescent="0.25">
      <c r="B397" s="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spans="2:13" ht="12.5" x14ac:dyDescent="0.25">
      <c r="B398" s="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spans="2:13" ht="12.5" x14ac:dyDescent="0.25">
      <c r="B399" s="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spans="2:13" ht="12.5" x14ac:dyDescent="0.25">
      <c r="B400" s="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spans="2:13" ht="12.5" x14ac:dyDescent="0.25">
      <c r="B401" s="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spans="2:13" ht="12.5" x14ac:dyDescent="0.25">
      <c r="B402" s="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spans="2:13" ht="12.5" x14ac:dyDescent="0.25">
      <c r="B403" s="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spans="2:13" ht="12.5" x14ac:dyDescent="0.25">
      <c r="B404" s="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spans="2:13" ht="12.5" x14ac:dyDescent="0.25">
      <c r="B405" s="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spans="2:13" ht="12.5" x14ac:dyDescent="0.25">
      <c r="B406" s="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spans="2:13" ht="12.5" x14ac:dyDescent="0.25">
      <c r="B407" s="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spans="2:13" ht="12.5" x14ac:dyDescent="0.25">
      <c r="B408" s="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spans="2:13" ht="12.5" x14ac:dyDescent="0.25">
      <c r="B409" s="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spans="2:13" ht="12.5" x14ac:dyDescent="0.25">
      <c r="B410" s="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spans="2:13" ht="12.5" x14ac:dyDescent="0.25">
      <c r="B411" s="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spans="2:13" ht="12.5" x14ac:dyDescent="0.25">
      <c r="B412" s="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spans="2:13" ht="12.5" x14ac:dyDescent="0.25">
      <c r="B413" s="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spans="2:13" ht="12.5" x14ac:dyDescent="0.25">
      <c r="B414" s="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spans="2:13" ht="12.5" x14ac:dyDescent="0.25">
      <c r="B415" s="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spans="2:13" ht="12.5" x14ac:dyDescent="0.25">
      <c r="B416" s="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spans="2:13" ht="12.5" x14ac:dyDescent="0.25">
      <c r="B417" s="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spans="2:13" ht="12.5" x14ac:dyDescent="0.25">
      <c r="B418" s="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spans="2:13" ht="12.5" x14ac:dyDescent="0.25">
      <c r="B419" s="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spans="2:13" ht="12.5" x14ac:dyDescent="0.25">
      <c r="B420" s="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spans="2:13" ht="12.5" x14ac:dyDescent="0.25">
      <c r="B421" s="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spans="2:13" ht="12.5" x14ac:dyDescent="0.25">
      <c r="B422" s="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spans="2:13" ht="12.5" x14ac:dyDescent="0.25">
      <c r="B423" s="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spans="2:13" ht="12.5" x14ac:dyDescent="0.25">
      <c r="B424" s="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spans="2:13" ht="12.5" x14ac:dyDescent="0.25">
      <c r="B425" s="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spans="2:13" ht="12.5" x14ac:dyDescent="0.25">
      <c r="B426" s="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spans="2:13" ht="12.5" x14ac:dyDescent="0.25">
      <c r="B427" s="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spans="2:13" ht="12.5" x14ac:dyDescent="0.25">
      <c r="B428" s="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spans="2:13" ht="12.5" x14ac:dyDescent="0.25">
      <c r="B429" s="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spans="2:13" ht="12.5" x14ac:dyDescent="0.25">
      <c r="B430" s="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spans="2:13" ht="12.5" x14ac:dyDescent="0.25">
      <c r="B431" s="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spans="2:13" ht="12.5" x14ac:dyDescent="0.25">
      <c r="B432" s="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spans="2:13" ht="12.5" x14ac:dyDescent="0.25">
      <c r="B433" s="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spans="2:13" ht="12.5" x14ac:dyDescent="0.25">
      <c r="B434" s="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spans="2:13" ht="12.5" x14ac:dyDescent="0.25">
      <c r="B435" s="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spans="2:13" ht="12.5" x14ac:dyDescent="0.25">
      <c r="B436" s="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spans="2:13" ht="12.5" x14ac:dyDescent="0.25">
      <c r="B437" s="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spans="2:13" ht="12.5" x14ac:dyDescent="0.25">
      <c r="B438" s="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spans="2:13" ht="12.5" x14ac:dyDescent="0.25">
      <c r="B439" s="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spans="2:13" ht="12.5" x14ac:dyDescent="0.25">
      <c r="B440" s="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spans="2:13" ht="12.5" x14ac:dyDescent="0.25">
      <c r="B441" s="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spans="2:13" ht="12.5" x14ac:dyDescent="0.25">
      <c r="B442" s="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spans="2:13" ht="12.5" x14ac:dyDescent="0.25">
      <c r="B443" s="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spans="2:13" ht="12.5" x14ac:dyDescent="0.25">
      <c r="B444" s="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spans="2:13" ht="12.5" x14ac:dyDescent="0.25">
      <c r="B445" s="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spans="2:13" ht="12.5" x14ac:dyDescent="0.25">
      <c r="B446" s="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spans="2:13" ht="12.5" x14ac:dyDescent="0.25">
      <c r="B447" s="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spans="2:13" ht="12.5" x14ac:dyDescent="0.25">
      <c r="B448" s="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spans="2:13" ht="12.5" x14ac:dyDescent="0.25">
      <c r="B449" s="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spans="2:13" ht="12.5" x14ac:dyDescent="0.25">
      <c r="B450" s="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spans="2:13" ht="12.5" x14ac:dyDescent="0.25">
      <c r="B451" s="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spans="2:13" ht="12.5" x14ac:dyDescent="0.25">
      <c r="B452" s="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spans="2:13" ht="12.5" x14ac:dyDescent="0.25">
      <c r="B453" s="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spans="2:13" ht="12.5" x14ac:dyDescent="0.25">
      <c r="B454" s="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spans="2:13" ht="12.5" x14ac:dyDescent="0.25">
      <c r="B455" s="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spans="2:13" ht="12.5" x14ac:dyDescent="0.25">
      <c r="B456" s="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spans="2:13" ht="12.5" x14ac:dyDescent="0.25">
      <c r="B457" s="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spans="2:13" ht="12.5" x14ac:dyDescent="0.25">
      <c r="B458" s="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spans="2:13" ht="12.5" x14ac:dyDescent="0.25">
      <c r="B459" s="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spans="2:13" ht="12.5" x14ac:dyDescent="0.25">
      <c r="B460" s="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spans="2:13" ht="12.5" x14ac:dyDescent="0.25">
      <c r="B461" s="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spans="2:13" ht="12.5" x14ac:dyDescent="0.25">
      <c r="B462" s="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spans="2:13" ht="12.5" x14ac:dyDescent="0.25">
      <c r="B463" s="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spans="2:13" ht="12.5" x14ac:dyDescent="0.25">
      <c r="B464" s="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spans="2:13" ht="12.5" x14ac:dyDescent="0.25">
      <c r="B465" s="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spans="2:13" ht="12.5" x14ac:dyDescent="0.25">
      <c r="B466" s="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spans="2:13" ht="12.5" x14ac:dyDescent="0.25">
      <c r="B467" s="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spans="2:13" ht="12.5" x14ac:dyDescent="0.25">
      <c r="B468" s="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spans="2:13" ht="12.5" x14ac:dyDescent="0.25">
      <c r="B469" s="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spans="2:13" ht="12.5" x14ac:dyDescent="0.25">
      <c r="B470" s="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spans="2:13" ht="12.5" x14ac:dyDescent="0.25">
      <c r="B471" s="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spans="2:13" ht="12.5" x14ac:dyDescent="0.25">
      <c r="B472" s="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spans="2:13" ht="12.5" x14ac:dyDescent="0.25">
      <c r="B473" s="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spans="2:13" ht="12.5" x14ac:dyDescent="0.25">
      <c r="B474" s="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spans="2:13" ht="12.5" x14ac:dyDescent="0.25">
      <c r="B475" s="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spans="2:13" ht="12.5" x14ac:dyDescent="0.25">
      <c r="B476" s="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spans="2:13" ht="12.5" x14ac:dyDescent="0.25">
      <c r="B477" s="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spans="2:13" ht="12.5" x14ac:dyDescent="0.25">
      <c r="B478" s="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spans="2:13" ht="12.5" x14ac:dyDescent="0.25">
      <c r="B479" s="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spans="2:13" ht="12.5" x14ac:dyDescent="0.25">
      <c r="B480" s="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spans="2:13" ht="12.5" x14ac:dyDescent="0.25">
      <c r="B481" s="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spans="2:13" ht="12.5" x14ac:dyDescent="0.25">
      <c r="B482" s="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spans="2:13" ht="12.5" x14ac:dyDescent="0.25">
      <c r="B483" s="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spans="2:13" ht="12.5" x14ac:dyDescent="0.25">
      <c r="B484" s="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spans="2:13" ht="12.5" x14ac:dyDescent="0.25">
      <c r="B485" s="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spans="2:13" ht="12.5" x14ac:dyDescent="0.25">
      <c r="B486" s="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spans="2:13" ht="12.5" x14ac:dyDescent="0.25">
      <c r="B487" s="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spans="2:13" ht="12.5" x14ac:dyDescent="0.25">
      <c r="B488" s="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spans="2:13" ht="12.5" x14ac:dyDescent="0.25">
      <c r="B489" s="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spans="2:13" ht="12.5" x14ac:dyDescent="0.25">
      <c r="B490" s="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spans="2:13" ht="12.5" x14ac:dyDescent="0.25">
      <c r="B491" s="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spans="2:13" ht="12.5" x14ac:dyDescent="0.25">
      <c r="B492" s="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spans="2:13" ht="12.5" x14ac:dyDescent="0.25">
      <c r="B493" s="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spans="2:13" ht="12.5" x14ac:dyDescent="0.25">
      <c r="B494" s="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spans="2:13" ht="12.5" x14ac:dyDescent="0.25">
      <c r="B495" s="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spans="2:13" ht="12.5" x14ac:dyDescent="0.25">
      <c r="B496" s="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spans="2:13" ht="12.5" x14ac:dyDescent="0.25">
      <c r="B497" s="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spans="2:13" ht="12.5" x14ac:dyDescent="0.25">
      <c r="B498" s="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spans="2:13" ht="12.5" x14ac:dyDescent="0.25">
      <c r="B499" s="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spans="2:13" ht="12.5" x14ac:dyDescent="0.25">
      <c r="B500" s="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spans="2:13" ht="12.5" x14ac:dyDescent="0.25">
      <c r="B501" s="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spans="2:13" ht="12.5" x14ac:dyDescent="0.25">
      <c r="B502" s="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spans="2:13" ht="12.5" x14ac:dyDescent="0.25">
      <c r="B503" s="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spans="2:13" ht="12.5" x14ac:dyDescent="0.25">
      <c r="B504" s="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spans="2:13" ht="12.5" x14ac:dyDescent="0.25">
      <c r="B505" s="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spans="2:13" ht="12.5" x14ac:dyDescent="0.25">
      <c r="B506" s="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spans="2:13" ht="12.5" x14ac:dyDescent="0.25">
      <c r="B507" s="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spans="2:13" ht="12.5" x14ac:dyDescent="0.25">
      <c r="B508" s="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spans="2:13" ht="12.5" x14ac:dyDescent="0.25">
      <c r="B509" s="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spans="2:13" ht="12.5" x14ac:dyDescent="0.25">
      <c r="B510" s="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spans="2:13" ht="12.5" x14ac:dyDescent="0.25">
      <c r="B511" s="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spans="2:13" ht="12.5" x14ac:dyDescent="0.25">
      <c r="B512" s="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spans="2:13" ht="12.5" x14ac:dyDescent="0.25">
      <c r="B513" s="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spans="2:13" ht="12.5" x14ac:dyDescent="0.25">
      <c r="B514" s="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spans="2:13" ht="12.5" x14ac:dyDescent="0.25">
      <c r="B515" s="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spans="2:13" ht="12.5" x14ac:dyDescent="0.25">
      <c r="B516" s="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spans="2:13" ht="12.5" x14ac:dyDescent="0.25">
      <c r="B517" s="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spans="2:13" ht="12.5" x14ac:dyDescent="0.25">
      <c r="B518" s="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spans="2:13" ht="12.5" x14ac:dyDescent="0.25">
      <c r="B519" s="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spans="2:13" ht="12.5" x14ac:dyDescent="0.25">
      <c r="B520" s="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spans="2:13" ht="12.5" x14ac:dyDescent="0.25">
      <c r="B521" s="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spans="2:13" ht="12.5" x14ac:dyDescent="0.25">
      <c r="B522" s="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spans="2:13" ht="12.5" x14ac:dyDescent="0.25">
      <c r="B523" s="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spans="2:13" ht="12.5" x14ac:dyDescent="0.25">
      <c r="B524" s="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spans="2:13" ht="12.5" x14ac:dyDescent="0.25">
      <c r="B525" s="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spans="2:13" ht="12.5" x14ac:dyDescent="0.25">
      <c r="B526" s="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spans="2:13" ht="12.5" x14ac:dyDescent="0.25">
      <c r="B527" s="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spans="2:13" ht="12.5" x14ac:dyDescent="0.25">
      <c r="B528" s="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spans="2:13" ht="12.5" x14ac:dyDescent="0.25">
      <c r="B529" s="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spans="2:13" ht="12.5" x14ac:dyDescent="0.25">
      <c r="B530" s="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spans="2:13" ht="12.5" x14ac:dyDescent="0.25">
      <c r="B531" s="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spans="2:13" ht="12.5" x14ac:dyDescent="0.25">
      <c r="B532" s="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spans="2:13" ht="12.5" x14ac:dyDescent="0.25">
      <c r="B533" s="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spans="2:13" ht="12.5" x14ac:dyDescent="0.25">
      <c r="B534" s="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spans="2:13" ht="12.5" x14ac:dyDescent="0.25">
      <c r="B535" s="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spans="2:13" ht="12.5" x14ac:dyDescent="0.25">
      <c r="B536" s="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spans="2:13" ht="12.5" x14ac:dyDescent="0.25">
      <c r="B537" s="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spans="2:13" ht="12.5" x14ac:dyDescent="0.25">
      <c r="B538" s="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spans="2:13" ht="12.5" x14ac:dyDescent="0.25">
      <c r="B539" s="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spans="2:13" ht="12.5" x14ac:dyDescent="0.25">
      <c r="B540" s="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spans="2:13" ht="12.5" x14ac:dyDescent="0.25">
      <c r="B541" s="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spans="2:13" ht="12.5" x14ac:dyDescent="0.25">
      <c r="B542" s="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spans="2:13" ht="12.5" x14ac:dyDescent="0.25">
      <c r="B543" s="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spans="2:13" ht="12.5" x14ac:dyDescent="0.25">
      <c r="B544" s="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spans="2:13" ht="12.5" x14ac:dyDescent="0.25">
      <c r="B545" s="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spans="2:13" ht="12.5" x14ac:dyDescent="0.25">
      <c r="B546" s="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spans="2:13" ht="12.5" x14ac:dyDescent="0.25">
      <c r="B547" s="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spans="2:13" ht="12.5" x14ac:dyDescent="0.25">
      <c r="B548" s="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spans="2:13" ht="12.5" x14ac:dyDescent="0.25">
      <c r="B549" s="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spans="2:13" ht="12.5" x14ac:dyDescent="0.25">
      <c r="B550" s="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spans="2:13" ht="12.5" x14ac:dyDescent="0.25">
      <c r="B551" s="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spans="2:13" ht="12.5" x14ac:dyDescent="0.25">
      <c r="B552" s="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spans="2:13" ht="12.5" x14ac:dyDescent="0.25">
      <c r="B553" s="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spans="2:13" ht="12.5" x14ac:dyDescent="0.25">
      <c r="B554" s="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spans="2:13" ht="12.5" x14ac:dyDescent="0.25">
      <c r="B555" s="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spans="2:13" ht="12.5" x14ac:dyDescent="0.25">
      <c r="B556" s="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spans="2:13" ht="12.5" x14ac:dyDescent="0.25">
      <c r="B557" s="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spans="2:13" ht="12.5" x14ac:dyDescent="0.25">
      <c r="B558" s="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spans="2:13" ht="12.5" x14ac:dyDescent="0.25">
      <c r="B559" s="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spans="2:13" ht="12.5" x14ac:dyDescent="0.25">
      <c r="B560" s="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spans="2:13" ht="12.5" x14ac:dyDescent="0.25">
      <c r="B561" s="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spans="2:13" ht="12.5" x14ac:dyDescent="0.25">
      <c r="B562" s="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spans="2:13" ht="12.5" x14ac:dyDescent="0.25">
      <c r="B563" s="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spans="2:13" ht="12.5" x14ac:dyDescent="0.25">
      <c r="B564" s="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spans="2:13" ht="12.5" x14ac:dyDescent="0.25">
      <c r="B565" s="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spans="2:13" ht="12.5" x14ac:dyDescent="0.25">
      <c r="B566" s="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spans="2:13" ht="12.5" x14ac:dyDescent="0.25">
      <c r="B567" s="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spans="2:13" ht="12.5" x14ac:dyDescent="0.25">
      <c r="B568" s="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spans="2:13" ht="12.5" x14ac:dyDescent="0.25">
      <c r="B569" s="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spans="2:13" ht="12.5" x14ac:dyDescent="0.25">
      <c r="B570" s="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spans="2:13" ht="12.5" x14ac:dyDescent="0.25">
      <c r="B571" s="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spans="2:13" ht="12.5" x14ac:dyDescent="0.25">
      <c r="B572" s="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spans="2:13" ht="12.5" x14ac:dyDescent="0.25">
      <c r="B573" s="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spans="2:13" ht="12.5" x14ac:dyDescent="0.25">
      <c r="B574" s="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spans="2:13" ht="12.5" x14ac:dyDescent="0.25">
      <c r="B575" s="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spans="2:13" ht="12.5" x14ac:dyDescent="0.25">
      <c r="B576" s="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spans="2:13" ht="12.5" x14ac:dyDescent="0.25">
      <c r="B577" s="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spans="2:13" ht="12.5" x14ac:dyDescent="0.25">
      <c r="B578" s="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spans="2:13" ht="12.5" x14ac:dyDescent="0.25">
      <c r="B579" s="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spans="2:13" ht="12.5" x14ac:dyDescent="0.25">
      <c r="B580" s="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spans="2:13" ht="12.5" x14ac:dyDescent="0.25">
      <c r="B581" s="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spans="2:13" ht="12.5" x14ac:dyDescent="0.25">
      <c r="B582" s="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spans="2:13" ht="12.5" x14ac:dyDescent="0.25">
      <c r="B583" s="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spans="2:13" ht="12.5" x14ac:dyDescent="0.25">
      <c r="B584" s="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spans="2:13" ht="12.5" x14ac:dyDescent="0.25">
      <c r="B585" s="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spans="2:13" ht="12.5" x14ac:dyDescent="0.25">
      <c r="B586" s="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spans="2:13" ht="12.5" x14ac:dyDescent="0.25">
      <c r="B587" s="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spans="2:13" ht="12.5" x14ac:dyDescent="0.25">
      <c r="B588" s="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spans="2:13" ht="12.5" x14ac:dyDescent="0.25">
      <c r="B589" s="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spans="2:13" ht="12.5" x14ac:dyDescent="0.25">
      <c r="B590" s="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spans="2:13" ht="12.5" x14ac:dyDescent="0.25">
      <c r="B591" s="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spans="2:13" ht="12.5" x14ac:dyDescent="0.25">
      <c r="B592" s="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spans="2:13" ht="12.5" x14ac:dyDescent="0.25">
      <c r="B593" s="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spans="2:13" ht="12.5" x14ac:dyDescent="0.25">
      <c r="B594" s="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spans="2:13" ht="12.5" x14ac:dyDescent="0.25">
      <c r="B595" s="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spans="2:13" ht="12.5" x14ac:dyDescent="0.25">
      <c r="B596" s="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spans="2:13" ht="12.5" x14ac:dyDescent="0.25">
      <c r="B597" s="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spans="2:13" ht="12.5" x14ac:dyDescent="0.25">
      <c r="B598" s="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spans="2:13" ht="12.5" x14ac:dyDescent="0.25">
      <c r="B599" s="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spans="2:13" ht="12.5" x14ac:dyDescent="0.25">
      <c r="B600" s="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spans="2:13" ht="12.5" x14ac:dyDescent="0.25">
      <c r="B601" s="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spans="2:13" ht="12.5" x14ac:dyDescent="0.25">
      <c r="B602" s="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spans="2:13" ht="12.5" x14ac:dyDescent="0.25">
      <c r="B603" s="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spans="2:13" ht="12.5" x14ac:dyDescent="0.25">
      <c r="B604" s="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spans="2:13" ht="12.5" x14ac:dyDescent="0.25">
      <c r="B605" s="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spans="2:13" ht="12.5" x14ac:dyDescent="0.25">
      <c r="B606" s="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spans="2:13" ht="12.5" x14ac:dyDescent="0.25">
      <c r="B607" s="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spans="2:13" ht="12.5" x14ac:dyDescent="0.25">
      <c r="B608" s="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spans="2:13" ht="12.5" x14ac:dyDescent="0.25">
      <c r="B609" s="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spans="2:13" ht="12.5" x14ac:dyDescent="0.25">
      <c r="B610" s="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spans="2:13" ht="12.5" x14ac:dyDescent="0.25">
      <c r="B611" s="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spans="2:13" ht="12.5" x14ac:dyDescent="0.25">
      <c r="B612" s="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spans="2:13" ht="12.5" x14ac:dyDescent="0.25">
      <c r="B613" s="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spans="2:13" ht="12.5" x14ac:dyDescent="0.25">
      <c r="B614" s="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spans="2:13" ht="12.5" x14ac:dyDescent="0.25">
      <c r="B615" s="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spans="2:13" ht="12.5" x14ac:dyDescent="0.25">
      <c r="B616" s="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spans="2:13" ht="12.5" x14ac:dyDescent="0.25">
      <c r="B617" s="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spans="2:13" ht="12.5" x14ac:dyDescent="0.25">
      <c r="B618" s="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spans="2:13" ht="12.5" x14ac:dyDescent="0.25">
      <c r="B619" s="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spans="2:13" ht="12.5" x14ac:dyDescent="0.25">
      <c r="B620" s="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spans="2:13" ht="12.5" x14ac:dyDescent="0.25">
      <c r="B621" s="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spans="2:13" ht="12.5" x14ac:dyDescent="0.25">
      <c r="B622" s="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spans="2:13" ht="12.5" x14ac:dyDescent="0.25">
      <c r="B623" s="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spans="2:13" ht="12.5" x14ac:dyDescent="0.25">
      <c r="B624" s="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spans="2:13" ht="12.5" x14ac:dyDescent="0.25">
      <c r="B625" s="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spans="2:13" ht="12.5" x14ac:dyDescent="0.25">
      <c r="B626" s="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spans="2:13" ht="12.5" x14ac:dyDescent="0.25">
      <c r="B627" s="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spans="2:13" ht="12.5" x14ac:dyDescent="0.25">
      <c r="B628" s="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spans="2:13" ht="12.5" x14ac:dyDescent="0.25">
      <c r="B629" s="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spans="2:13" ht="12.5" x14ac:dyDescent="0.25">
      <c r="B630" s="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spans="2:13" ht="12.5" x14ac:dyDescent="0.25">
      <c r="B631" s="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spans="2:13" ht="12.5" x14ac:dyDescent="0.25">
      <c r="B632" s="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spans="2:13" ht="12.5" x14ac:dyDescent="0.25">
      <c r="B633" s="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spans="2:13" ht="12.5" x14ac:dyDescent="0.25">
      <c r="B634" s="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spans="2:13" ht="12.5" x14ac:dyDescent="0.25">
      <c r="B635" s="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spans="2:13" ht="12.5" x14ac:dyDescent="0.25">
      <c r="B636" s="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spans="2:13" ht="12.5" x14ac:dyDescent="0.25">
      <c r="B637" s="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spans="2:13" ht="12.5" x14ac:dyDescent="0.25">
      <c r="B638" s="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spans="2:13" ht="12.5" x14ac:dyDescent="0.25">
      <c r="B639" s="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spans="2:13" ht="12.5" x14ac:dyDescent="0.25">
      <c r="B640" s="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spans="2:13" ht="12.5" x14ac:dyDescent="0.25">
      <c r="B641" s="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spans="2:13" ht="12.5" x14ac:dyDescent="0.25">
      <c r="B642" s="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spans="2:13" ht="12.5" x14ac:dyDescent="0.25">
      <c r="B643" s="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spans="2:13" ht="12.5" x14ac:dyDescent="0.25">
      <c r="B644" s="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spans="2:13" ht="12.5" x14ac:dyDescent="0.25">
      <c r="B645" s="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spans="2:13" ht="12.5" x14ac:dyDescent="0.25">
      <c r="B646" s="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spans="2:13" ht="12.5" x14ac:dyDescent="0.25">
      <c r="B647" s="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spans="2:13" ht="12.5" x14ac:dyDescent="0.25">
      <c r="B648" s="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spans="2:13" ht="12.5" x14ac:dyDescent="0.25">
      <c r="B649" s="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spans="2:13" ht="12.5" x14ac:dyDescent="0.25">
      <c r="B650" s="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spans="2:13" ht="12.5" x14ac:dyDescent="0.25">
      <c r="B651" s="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spans="2:13" ht="12.5" x14ac:dyDescent="0.25">
      <c r="B652" s="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spans="2:13" ht="12.5" x14ac:dyDescent="0.25">
      <c r="B653" s="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spans="2:13" ht="12.5" x14ac:dyDescent="0.25">
      <c r="B654" s="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spans="2:13" ht="12.5" x14ac:dyDescent="0.25">
      <c r="B655" s="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spans="2:13" ht="12.5" x14ac:dyDescent="0.25">
      <c r="B656" s="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spans="2:13" ht="12.5" x14ac:dyDescent="0.25">
      <c r="B657" s="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spans="2:13" ht="12.5" x14ac:dyDescent="0.25">
      <c r="B658" s="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spans="2:13" ht="12.5" x14ac:dyDescent="0.25">
      <c r="B659" s="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spans="2:13" ht="12.5" x14ac:dyDescent="0.25">
      <c r="B660" s="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spans="2:13" ht="12.5" x14ac:dyDescent="0.25">
      <c r="B661" s="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spans="2:13" ht="12.5" x14ac:dyDescent="0.25">
      <c r="B662" s="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spans="2:13" ht="12.5" x14ac:dyDescent="0.25">
      <c r="B663" s="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spans="2:13" ht="12.5" x14ac:dyDescent="0.25">
      <c r="B664" s="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spans="2:13" ht="12.5" x14ac:dyDescent="0.25">
      <c r="B665" s="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spans="2:13" ht="12.5" x14ac:dyDescent="0.25">
      <c r="B666" s="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spans="2:13" ht="12.5" x14ac:dyDescent="0.25">
      <c r="B667" s="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spans="2:13" ht="12.5" x14ac:dyDescent="0.25">
      <c r="B668" s="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spans="2:13" ht="12.5" x14ac:dyDescent="0.25">
      <c r="B669" s="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spans="2:13" ht="12.5" x14ac:dyDescent="0.25">
      <c r="B670" s="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spans="2:13" ht="12.5" x14ac:dyDescent="0.25">
      <c r="B671" s="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spans="2:13" ht="12.5" x14ac:dyDescent="0.25">
      <c r="B672" s="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spans="2:13" ht="12.5" x14ac:dyDescent="0.25">
      <c r="B673" s="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spans="2:13" ht="12.5" x14ac:dyDescent="0.25">
      <c r="B674" s="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spans="2:13" ht="12.5" x14ac:dyDescent="0.25">
      <c r="B675" s="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spans="2:13" ht="12.5" x14ac:dyDescent="0.25">
      <c r="B676" s="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spans="2:13" ht="12.5" x14ac:dyDescent="0.25">
      <c r="B677" s="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spans="2:13" ht="12.5" x14ac:dyDescent="0.25">
      <c r="B678" s="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spans="2:13" ht="12.5" x14ac:dyDescent="0.25">
      <c r="B679" s="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spans="2:13" ht="12.5" x14ac:dyDescent="0.25">
      <c r="B680" s="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spans="2:13" ht="12.5" x14ac:dyDescent="0.25">
      <c r="B681" s="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spans="2:13" ht="12.5" x14ac:dyDescent="0.25">
      <c r="B682" s="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spans="2:13" ht="12.5" x14ac:dyDescent="0.25">
      <c r="B683" s="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spans="2:13" ht="12.5" x14ac:dyDescent="0.25">
      <c r="B684" s="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spans="2:13" ht="12.5" x14ac:dyDescent="0.25">
      <c r="B685" s="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spans="2:13" ht="12.5" x14ac:dyDescent="0.25">
      <c r="B686" s="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spans="2:13" ht="12.5" x14ac:dyDescent="0.25">
      <c r="B687" s="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spans="2:13" ht="12.5" x14ac:dyDescent="0.25">
      <c r="B688" s="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spans="2:13" ht="12.5" x14ac:dyDescent="0.25">
      <c r="B689" s="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spans="2:13" ht="12.5" x14ac:dyDescent="0.25">
      <c r="B690" s="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spans="2:13" ht="12.5" x14ac:dyDescent="0.25">
      <c r="B691" s="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spans="2:13" ht="12.5" x14ac:dyDescent="0.25">
      <c r="B692" s="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spans="2:13" ht="12.5" x14ac:dyDescent="0.25">
      <c r="B693" s="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spans="2:13" ht="12.5" x14ac:dyDescent="0.25">
      <c r="B694" s="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spans="2:13" ht="12.5" x14ac:dyDescent="0.25">
      <c r="B695" s="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spans="2:13" ht="12.5" x14ac:dyDescent="0.25">
      <c r="B696" s="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spans="2:13" ht="12.5" x14ac:dyDescent="0.25">
      <c r="B697" s="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spans="2:13" ht="12.5" x14ac:dyDescent="0.25">
      <c r="B698" s="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spans="2:13" ht="12.5" x14ac:dyDescent="0.25">
      <c r="B699" s="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spans="2:13" ht="12.5" x14ac:dyDescent="0.25">
      <c r="B700" s="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spans="2:13" ht="12.5" x14ac:dyDescent="0.25">
      <c r="B701" s="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spans="2:13" ht="12.5" x14ac:dyDescent="0.25">
      <c r="B702" s="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spans="2:13" ht="12.5" x14ac:dyDescent="0.25">
      <c r="B703" s="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spans="2:13" ht="12.5" x14ac:dyDescent="0.25">
      <c r="B704" s="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spans="2:13" ht="12.5" x14ac:dyDescent="0.25">
      <c r="B705" s="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spans="2:13" ht="12.5" x14ac:dyDescent="0.25">
      <c r="B706" s="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spans="2:13" ht="12.5" x14ac:dyDescent="0.25">
      <c r="B707" s="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spans="2:13" ht="12.5" x14ac:dyDescent="0.25">
      <c r="B708" s="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spans="2:13" ht="12.5" x14ac:dyDescent="0.25">
      <c r="B709" s="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spans="2:13" ht="12.5" x14ac:dyDescent="0.25">
      <c r="B710" s="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spans="2:13" ht="12.5" x14ac:dyDescent="0.25">
      <c r="B711" s="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spans="2:13" ht="12.5" x14ac:dyDescent="0.25">
      <c r="B712" s="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spans="2:13" ht="12.5" x14ac:dyDescent="0.25">
      <c r="B713" s="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spans="2:13" ht="12.5" x14ac:dyDescent="0.25">
      <c r="B714" s="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spans="2:13" ht="12.5" x14ac:dyDescent="0.25">
      <c r="B715" s="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spans="2:13" ht="12.5" x14ac:dyDescent="0.25">
      <c r="B716" s="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spans="2:13" ht="12.5" x14ac:dyDescent="0.25">
      <c r="B717" s="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spans="2:13" ht="12.5" x14ac:dyDescent="0.25">
      <c r="B718" s="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spans="2:13" ht="12.5" x14ac:dyDescent="0.25">
      <c r="B719" s="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spans="2:13" ht="12.5" x14ac:dyDescent="0.25">
      <c r="B720" s="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spans="2:13" ht="12.5" x14ac:dyDescent="0.25">
      <c r="B721" s="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spans="2:13" ht="12.5" x14ac:dyDescent="0.25">
      <c r="B722" s="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spans="2:13" ht="12.5" x14ac:dyDescent="0.25">
      <c r="B723" s="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spans="2:13" ht="12.5" x14ac:dyDescent="0.25">
      <c r="B724" s="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spans="2:13" ht="12.5" x14ac:dyDescent="0.25">
      <c r="B725" s="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spans="2:13" ht="12.5" x14ac:dyDescent="0.25">
      <c r="B726" s="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spans="2:13" ht="12.5" x14ac:dyDescent="0.25">
      <c r="B727" s="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spans="2:13" ht="12.5" x14ac:dyDescent="0.25">
      <c r="B728" s="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spans="2:13" ht="12.5" x14ac:dyDescent="0.25">
      <c r="B729" s="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spans="2:13" ht="12.5" x14ac:dyDescent="0.25">
      <c r="B730" s="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spans="2:13" ht="12.5" x14ac:dyDescent="0.25">
      <c r="B731" s="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spans="2:13" ht="12.5" x14ac:dyDescent="0.25">
      <c r="B732" s="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spans="2:13" ht="12.5" x14ac:dyDescent="0.25">
      <c r="B733" s="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spans="2:13" ht="12.5" x14ac:dyDescent="0.25">
      <c r="B734" s="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spans="2:13" ht="12.5" x14ac:dyDescent="0.25">
      <c r="B735" s="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spans="2:13" ht="12.5" x14ac:dyDescent="0.25">
      <c r="B736" s="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spans="2:13" ht="12.5" x14ac:dyDescent="0.25">
      <c r="B737" s="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spans="2:13" ht="12.5" x14ac:dyDescent="0.25">
      <c r="B738" s="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spans="2:13" ht="12.5" x14ac:dyDescent="0.25">
      <c r="B739" s="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spans="2:13" ht="12.5" x14ac:dyDescent="0.25">
      <c r="B740" s="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spans="2:13" ht="12.5" x14ac:dyDescent="0.25">
      <c r="B741" s="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spans="2:13" ht="12.5" x14ac:dyDescent="0.25">
      <c r="B742" s="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spans="2:13" ht="12.5" x14ac:dyDescent="0.25">
      <c r="B743" s="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spans="2:13" ht="12.5" x14ac:dyDescent="0.25">
      <c r="B744" s="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spans="2:13" ht="12.5" x14ac:dyDescent="0.25">
      <c r="B745" s="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spans="2:13" ht="12.5" x14ac:dyDescent="0.25">
      <c r="B746" s="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spans="2:13" ht="12.5" x14ac:dyDescent="0.25">
      <c r="B747" s="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spans="2:13" ht="12.5" x14ac:dyDescent="0.25">
      <c r="B748" s="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spans="2:13" ht="12.5" x14ac:dyDescent="0.25">
      <c r="B749" s="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spans="2:13" ht="12.5" x14ac:dyDescent="0.25">
      <c r="B750" s="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spans="2:13" ht="12.5" x14ac:dyDescent="0.25">
      <c r="B751" s="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spans="2:13" ht="12.5" x14ac:dyDescent="0.25">
      <c r="B752" s="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spans="2:13" ht="12.5" x14ac:dyDescent="0.25">
      <c r="B753" s="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spans="2:13" ht="12.5" x14ac:dyDescent="0.25">
      <c r="B754" s="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spans="2:13" ht="12.5" x14ac:dyDescent="0.25">
      <c r="B755" s="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spans="2:13" ht="12.5" x14ac:dyDescent="0.25">
      <c r="B756" s="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spans="2:13" ht="12.5" x14ac:dyDescent="0.25">
      <c r="B757" s="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spans="2:13" ht="12.5" x14ac:dyDescent="0.25">
      <c r="B758" s="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spans="2:13" ht="12.5" x14ac:dyDescent="0.25">
      <c r="B759" s="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spans="2:13" ht="12.5" x14ac:dyDescent="0.25">
      <c r="B760" s="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spans="2:13" ht="12.5" x14ac:dyDescent="0.25">
      <c r="B761" s="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spans="2:13" ht="12.5" x14ac:dyDescent="0.25">
      <c r="B762" s="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spans="2:13" ht="12.5" x14ac:dyDescent="0.25">
      <c r="B763" s="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spans="2:13" ht="12.5" x14ac:dyDescent="0.25">
      <c r="B764" s="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spans="2:13" ht="12.5" x14ac:dyDescent="0.25">
      <c r="B765" s="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spans="2:13" ht="12.5" x14ac:dyDescent="0.25">
      <c r="B766" s="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spans="2:13" ht="12.5" x14ac:dyDescent="0.25">
      <c r="B767" s="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spans="2:13" ht="12.5" x14ac:dyDescent="0.25">
      <c r="B768" s="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spans="2:13" ht="12.5" x14ac:dyDescent="0.25">
      <c r="B769" s="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spans="2:13" ht="12.5" x14ac:dyDescent="0.25">
      <c r="B770" s="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spans="2:13" ht="12.5" x14ac:dyDescent="0.25">
      <c r="B771" s="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spans="2:13" ht="12.5" x14ac:dyDescent="0.25">
      <c r="B772" s="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spans="2:13" ht="12.5" x14ac:dyDescent="0.25">
      <c r="B773" s="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spans="2:13" ht="12.5" x14ac:dyDescent="0.25">
      <c r="B774" s="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spans="2:13" ht="12.5" x14ac:dyDescent="0.25">
      <c r="B775" s="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spans="2:13" ht="12.5" x14ac:dyDescent="0.25">
      <c r="B776" s="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spans="2:13" ht="12.5" x14ac:dyDescent="0.25">
      <c r="B777" s="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spans="2:13" ht="12.5" x14ac:dyDescent="0.25">
      <c r="B778" s="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spans="2:13" ht="12.5" x14ac:dyDescent="0.25">
      <c r="B779" s="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spans="2:13" ht="12.5" x14ac:dyDescent="0.25">
      <c r="B780" s="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spans="2:13" ht="12.5" x14ac:dyDescent="0.25">
      <c r="B781" s="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spans="2:13" ht="12.5" x14ac:dyDescent="0.25">
      <c r="B782" s="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spans="2:13" ht="12.5" x14ac:dyDescent="0.25">
      <c r="B783" s="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spans="2:13" ht="12.5" x14ac:dyDescent="0.25">
      <c r="B784" s="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spans="2:13" ht="12.5" x14ac:dyDescent="0.25">
      <c r="B785" s="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spans="2:13" ht="12.5" x14ac:dyDescent="0.25">
      <c r="B786" s="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spans="2:13" ht="12.5" x14ac:dyDescent="0.25">
      <c r="B787" s="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spans="2:13" ht="12.5" x14ac:dyDescent="0.25">
      <c r="B788" s="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spans="2:13" ht="12.5" x14ac:dyDescent="0.25">
      <c r="B789" s="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spans="2:13" ht="12.5" x14ac:dyDescent="0.25">
      <c r="B790" s="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spans="2:13" ht="12.5" x14ac:dyDescent="0.25">
      <c r="B791" s="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spans="2:13" ht="12.5" x14ac:dyDescent="0.25">
      <c r="B792" s="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spans="2:13" ht="12.5" x14ac:dyDescent="0.25">
      <c r="B793" s="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spans="2:13" ht="12.5" x14ac:dyDescent="0.25">
      <c r="B794" s="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spans="2:13" ht="12.5" x14ac:dyDescent="0.25">
      <c r="B795" s="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spans="2:13" ht="12.5" x14ac:dyDescent="0.25">
      <c r="B796" s="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spans="2:13" ht="12.5" x14ac:dyDescent="0.25">
      <c r="B797" s="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spans="2:13" ht="12.5" x14ac:dyDescent="0.25">
      <c r="B798" s="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spans="2:13" ht="12.5" x14ac:dyDescent="0.25">
      <c r="B799" s="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spans="2:13" ht="12.5" x14ac:dyDescent="0.25">
      <c r="B800" s="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spans="2:13" ht="12.5" x14ac:dyDescent="0.25">
      <c r="B801" s="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spans="2:13" ht="12.5" x14ac:dyDescent="0.25">
      <c r="B802" s="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spans="2:13" ht="12.5" x14ac:dyDescent="0.25">
      <c r="B803" s="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spans="2:13" ht="12.5" x14ac:dyDescent="0.25">
      <c r="B804" s="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spans="2:13" ht="12.5" x14ac:dyDescent="0.25">
      <c r="B805" s="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spans="2:13" ht="12.5" x14ac:dyDescent="0.25">
      <c r="B806" s="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spans="2:13" ht="12.5" x14ac:dyDescent="0.25">
      <c r="B807" s="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spans="2:13" ht="12.5" x14ac:dyDescent="0.25">
      <c r="B808" s="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spans="2:13" ht="12.5" x14ac:dyDescent="0.25">
      <c r="B809" s="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spans="2:13" ht="12.5" x14ac:dyDescent="0.25">
      <c r="B810" s="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spans="2:13" ht="12.5" x14ac:dyDescent="0.25">
      <c r="B811" s="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spans="2:13" ht="12.5" x14ac:dyDescent="0.25">
      <c r="B812" s="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spans="2:13" ht="12.5" x14ac:dyDescent="0.25">
      <c r="B813" s="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spans="2:13" ht="12.5" x14ac:dyDescent="0.25">
      <c r="B814" s="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spans="2:13" ht="12.5" x14ac:dyDescent="0.25">
      <c r="B815" s="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spans="2:13" ht="12.5" x14ac:dyDescent="0.25">
      <c r="B816" s="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spans="2:13" ht="12.5" x14ac:dyDescent="0.25">
      <c r="B817" s="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spans="2:13" ht="12.5" x14ac:dyDescent="0.25">
      <c r="B818" s="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spans="2:13" ht="12.5" x14ac:dyDescent="0.25">
      <c r="B819" s="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spans="2:13" ht="12.5" x14ac:dyDescent="0.25">
      <c r="B820" s="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spans="2:13" ht="12.5" x14ac:dyDescent="0.25">
      <c r="B821" s="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spans="2:13" ht="12.5" x14ac:dyDescent="0.25">
      <c r="B822" s="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spans="2:13" ht="12.5" x14ac:dyDescent="0.25">
      <c r="B823" s="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spans="2:13" ht="12.5" x14ac:dyDescent="0.25">
      <c r="B824" s="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spans="2:13" ht="12.5" x14ac:dyDescent="0.25">
      <c r="B825" s="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spans="2:13" ht="12.5" x14ac:dyDescent="0.25">
      <c r="B826" s="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spans="2:13" ht="12.5" x14ac:dyDescent="0.25">
      <c r="B827" s="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spans="2:13" ht="12.5" x14ac:dyDescent="0.25">
      <c r="B828" s="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spans="2:13" ht="12.5" x14ac:dyDescent="0.25">
      <c r="B829" s="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spans="2:13" ht="12.5" x14ac:dyDescent="0.25">
      <c r="B830" s="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spans="2:13" ht="12.5" x14ac:dyDescent="0.25">
      <c r="B831" s="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spans="2:13" ht="12.5" x14ac:dyDescent="0.25">
      <c r="B832" s="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spans="2:13" ht="12.5" x14ac:dyDescent="0.25">
      <c r="B833" s="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spans="2:13" ht="12.5" x14ac:dyDescent="0.25">
      <c r="B834" s="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spans="2:13" ht="12.5" x14ac:dyDescent="0.25">
      <c r="B835" s="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spans="2:13" ht="12.5" x14ac:dyDescent="0.25">
      <c r="B836" s="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spans="2:13" ht="12.5" x14ac:dyDescent="0.25">
      <c r="B837" s="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spans="2:13" ht="12.5" x14ac:dyDescent="0.25">
      <c r="B838" s="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spans="2:13" ht="12.5" x14ac:dyDescent="0.25">
      <c r="B839" s="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spans="2:13" ht="12.5" x14ac:dyDescent="0.25">
      <c r="B840" s="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spans="2:13" ht="12.5" x14ac:dyDescent="0.25">
      <c r="B841" s="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spans="2:13" ht="12.5" x14ac:dyDescent="0.25">
      <c r="B842" s="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spans="2:13" ht="12.5" x14ac:dyDescent="0.25">
      <c r="B843" s="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spans="2:13" ht="12.5" x14ac:dyDescent="0.25">
      <c r="B844" s="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spans="2:13" ht="12.5" x14ac:dyDescent="0.25">
      <c r="B845" s="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spans="2:13" ht="12.5" x14ac:dyDescent="0.25">
      <c r="B846" s="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spans="2:13" ht="12.5" x14ac:dyDescent="0.25">
      <c r="B847" s="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spans="2:13" ht="12.5" x14ac:dyDescent="0.25">
      <c r="B848" s="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spans="2:13" ht="12.5" x14ac:dyDescent="0.25">
      <c r="B849" s="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spans="2:13" ht="12.5" x14ac:dyDescent="0.25">
      <c r="B850" s="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spans="2:13" ht="12.5" x14ac:dyDescent="0.25">
      <c r="B851" s="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spans="2:13" ht="12.5" x14ac:dyDescent="0.25">
      <c r="B852" s="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spans="2:13" ht="12.5" x14ac:dyDescent="0.25">
      <c r="B853" s="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spans="2:13" ht="12.5" x14ac:dyDescent="0.25">
      <c r="B854" s="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spans="2:13" ht="12.5" x14ac:dyDescent="0.25">
      <c r="B855" s="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spans="2:13" ht="12.5" x14ac:dyDescent="0.25">
      <c r="B856" s="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spans="2:13" ht="12.5" x14ac:dyDescent="0.25">
      <c r="B857" s="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spans="2:13" ht="12.5" x14ac:dyDescent="0.25">
      <c r="B858" s="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spans="2:13" ht="12.5" x14ac:dyDescent="0.25">
      <c r="B859" s="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spans="2:13" ht="12.5" x14ac:dyDescent="0.25">
      <c r="B860" s="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spans="2:13" ht="12.5" x14ac:dyDescent="0.25">
      <c r="B861" s="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spans="2:13" ht="12.5" x14ac:dyDescent="0.25">
      <c r="B862" s="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spans="2:13" ht="12.5" x14ac:dyDescent="0.25">
      <c r="B863" s="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spans="2:13" ht="12.5" x14ac:dyDescent="0.25">
      <c r="B864" s="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spans="2:13" ht="12.5" x14ac:dyDescent="0.25">
      <c r="B865" s="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spans="2:13" ht="12.5" x14ac:dyDescent="0.25">
      <c r="B866" s="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spans="2:13" ht="12.5" x14ac:dyDescent="0.25">
      <c r="B867" s="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spans="2:13" ht="12.5" x14ac:dyDescent="0.25">
      <c r="B868" s="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spans="2:13" ht="12.5" x14ac:dyDescent="0.25">
      <c r="B869" s="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spans="2:13" ht="12.5" x14ac:dyDescent="0.25">
      <c r="B870" s="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spans="2:13" ht="12.5" x14ac:dyDescent="0.25">
      <c r="B871" s="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spans="2:13" ht="12.5" x14ac:dyDescent="0.25">
      <c r="B872" s="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spans="2:13" ht="12.5" x14ac:dyDescent="0.25">
      <c r="B873" s="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spans="2:13" ht="12.5" x14ac:dyDescent="0.25">
      <c r="B874" s="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spans="2:13" ht="12.5" x14ac:dyDescent="0.25">
      <c r="B875" s="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spans="2:13" ht="12.5" x14ac:dyDescent="0.25">
      <c r="B876" s="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spans="2:13" ht="12.5" x14ac:dyDescent="0.25">
      <c r="B877" s="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spans="2:13" ht="12.5" x14ac:dyDescent="0.25">
      <c r="B878" s="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spans="2:13" ht="12.5" x14ac:dyDescent="0.25">
      <c r="B879" s="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spans="2:13" ht="12.5" x14ac:dyDescent="0.25">
      <c r="B880" s="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spans="2:13" ht="12.5" x14ac:dyDescent="0.25">
      <c r="B881" s="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spans="2:13" ht="12.5" x14ac:dyDescent="0.25">
      <c r="B882" s="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spans="2:13" ht="12.5" x14ac:dyDescent="0.25">
      <c r="B883" s="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spans="2:13" ht="12.5" x14ac:dyDescent="0.25">
      <c r="B884" s="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spans="2:13" ht="12.5" x14ac:dyDescent="0.25">
      <c r="B885" s="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spans="2:13" ht="12.5" x14ac:dyDescent="0.25">
      <c r="B886" s="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spans="2:13" ht="12.5" x14ac:dyDescent="0.25">
      <c r="B887" s="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spans="2:13" ht="12.5" x14ac:dyDescent="0.25">
      <c r="B888" s="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spans="2:13" ht="12.5" x14ac:dyDescent="0.25">
      <c r="B889" s="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spans="2:13" ht="12.5" x14ac:dyDescent="0.25">
      <c r="B890" s="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spans="2:13" ht="12.5" x14ac:dyDescent="0.25">
      <c r="B891" s="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spans="2:13" ht="12.5" x14ac:dyDescent="0.25">
      <c r="B892" s="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spans="2:13" ht="12.5" x14ac:dyDescent="0.25">
      <c r="B893" s="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spans="2:13" ht="12.5" x14ac:dyDescent="0.25">
      <c r="B894" s="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spans="2:13" ht="12.5" x14ac:dyDescent="0.25">
      <c r="B895" s="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spans="2:13" ht="12.5" x14ac:dyDescent="0.25">
      <c r="B896" s="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spans="2:13" ht="12.5" x14ac:dyDescent="0.25">
      <c r="B897" s="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spans="2:13" ht="12.5" x14ac:dyDescent="0.25">
      <c r="B898" s="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spans="2:13" ht="12.5" x14ac:dyDescent="0.25">
      <c r="B899" s="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spans="2:13" ht="12.5" x14ac:dyDescent="0.25">
      <c r="B900" s="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spans="2:13" ht="12.5" x14ac:dyDescent="0.25">
      <c r="B901" s="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spans="2:13" ht="12.5" x14ac:dyDescent="0.25">
      <c r="B902" s="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spans="2:13" ht="12.5" x14ac:dyDescent="0.25">
      <c r="B903" s="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spans="2:13" ht="12.5" x14ac:dyDescent="0.25">
      <c r="B904" s="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spans="2:13" ht="12.5" x14ac:dyDescent="0.25">
      <c r="B905" s="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spans="2:13" ht="12.5" x14ac:dyDescent="0.25">
      <c r="B906" s="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spans="2:13" ht="12.5" x14ac:dyDescent="0.25">
      <c r="B907" s="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spans="2:13" ht="12.5" x14ac:dyDescent="0.25">
      <c r="B908" s="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spans="2:13" ht="12.5" x14ac:dyDescent="0.25">
      <c r="B909" s="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spans="2:13" ht="12.5" x14ac:dyDescent="0.25">
      <c r="B910" s="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spans="2:13" ht="12.5" x14ac:dyDescent="0.25">
      <c r="B911" s="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spans="2:13" ht="12.5" x14ac:dyDescent="0.25">
      <c r="B912" s="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spans="2:13" ht="12.5" x14ac:dyDescent="0.25">
      <c r="B913" s="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spans="2:13" ht="12.5" x14ac:dyDescent="0.25">
      <c r="B914" s="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spans="2:13" ht="12.5" x14ac:dyDescent="0.25">
      <c r="B915" s="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spans="2:13" ht="12.5" x14ac:dyDescent="0.25">
      <c r="B916" s="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spans="2:13" ht="12.5" x14ac:dyDescent="0.25">
      <c r="B917" s="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spans="2:13" ht="12.5" x14ac:dyDescent="0.25">
      <c r="B918" s="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spans="2:13" ht="12.5" x14ac:dyDescent="0.25">
      <c r="B919" s="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spans="2:13" ht="12.5" x14ac:dyDescent="0.25">
      <c r="B920" s="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spans="2:13" ht="12.5" x14ac:dyDescent="0.25">
      <c r="B921" s="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spans="2:13" ht="12.5" x14ac:dyDescent="0.25">
      <c r="B922" s="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spans="2:13" ht="12.5" x14ac:dyDescent="0.25">
      <c r="B923" s="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spans="2:13" ht="12.5" x14ac:dyDescent="0.25">
      <c r="B924" s="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spans="2:13" ht="12.5" x14ac:dyDescent="0.25">
      <c r="B925" s="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spans="2:13" ht="12.5" x14ac:dyDescent="0.25">
      <c r="B926" s="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spans="2:13" ht="12.5" x14ac:dyDescent="0.25">
      <c r="B927" s="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spans="2:13" ht="12.5" x14ac:dyDescent="0.25">
      <c r="B928" s="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spans="2:13" ht="12.5" x14ac:dyDescent="0.25">
      <c r="B929" s="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spans="2:13" ht="12.5" x14ac:dyDescent="0.25">
      <c r="B930" s="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spans="2:13" ht="12.5" x14ac:dyDescent="0.25">
      <c r="B931" s="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spans="2:13" ht="12.5" x14ac:dyDescent="0.25">
      <c r="B932" s="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spans="2:13" ht="12.5" x14ac:dyDescent="0.25">
      <c r="B933" s="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spans="2:13" ht="12.5" x14ac:dyDescent="0.25">
      <c r="B934" s="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spans="2:13" ht="12.5" x14ac:dyDescent="0.25">
      <c r="B935" s="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spans="2:13" ht="12.5" x14ac:dyDescent="0.25">
      <c r="B936" s="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spans="2:13" ht="12.5" x14ac:dyDescent="0.25">
      <c r="B937" s="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spans="2:13" ht="12.5" x14ac:dyDescent="0.25">
      <c r="B938" s="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spans="2:13" ht="12.5" x14ac:dyDescent="0.25">
      <c r="B939" s="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spans="2:13" ht="12.5" x14ac:dyDescent="0.25">
      <c r="B940" s="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spans="2:13" ht="12.5" x14ac:dyDescent="0.25">
      <c r="B941" s="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spans="2:13" ht="12.5" x14ac:dyDescent="0.25">
      <c r="B942" s="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spans="2:13" ht="12.5" x14ac:dyDescent="0.25">
      <c r="B943" s="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spans="2:13" ht="12.5" x14ac:dyDescent="0.25">
      <c r="B944" s="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spans="2:13" ht="12.5" x14ac:dyDescent="0.25">
      <c r="B945" s="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spans="2:13" ht="12.5" x14ac:dyDescent="0.25">
      <c r="B946" s="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spans="2:13" ht="12.5" x14ac:dyDescent="0.25">
      <c r="B947" s="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spans="2:13" ht="12.5" x14ac:dyDescent="0.25">
      <c r="B948" s="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spans="2:13" ht="12.5" x14ac:dyDescent="0.25">
      <c r="B949" s="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spans="2:13" ht="12.5" x14ac:dyDescent="0.25">
      <c r="B950" s="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spans="2:13" ht="12.5" x14ac:dyDescent="0.25">
      <c r="B951" s="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spans="2:13" ht="12.5" x14ac:dyDescent="0.25">
      <c r="B952" s="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spans="2:13" ht="12.5" x14ac:dyDescent="0.25">
      <c r="B953" s="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spans="2:13" ht="12.5" x14ac:dyDescent="0.25">
      <c r="B954" s="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spans="2:13" ht="12.5" x14ac:dyDescent="0.25">
      <c r="B955" s="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spans="2:13" ht="12.5" x14ac:dyDescent="0.25">
      <c r="B956" s="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spans="2:13" ht="12.5" x14ac:dyDescent="0.25">
      <c r="B957" s="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spans="2:13" ht="12.5" x14ac:dyDescent="0.25">
      <c r="B958" s="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spans="2:13" ht="12.5" x14ac:dyDescent="0.25">
      <c r="B959" s="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spans="2:13" ht="12.5" x14ac:dyDescent="0.25">
      <c r="B960" s="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spans="2:13" ht="12.5" x14ac:dyDescent="0.25">
      <c r="B961" s="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spans="2:13" ht="12.5" x14ac:dyDescent="0.25">
      <c r="B962" s="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spans="2:13" ht="12.5" x14ac:dyDescent="0.25">
      <c r="B963" s="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spans="2:13" ht="12.5" x14ac:dyDescent="0.25">
      <c r="B964" s="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spans="2:13" ht="12.5" x14ac:dyDescent="0.25">
      <c r="B965" s="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spans="2:13" ht="12.5" x14ac:dyDescent="0.25">
      <c r="B966" s="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spans="2:13" ht="12.5" x14ac:dyDescent="0.25">
      <c r="B967" s="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spans="2:13" ht="12.5" x14ac:dyDescent="0.25">
      <c r="B968" s="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spans="2:13" ht="12.5" x14ac:dyDescent="0.25">
      <c r="B969" s="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spans="2:13" ht="12.5" x14ac:dyDescent="0.25">
      <c r="B970" s="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spans="2:13" ht="12.5" x14ac:dyDescent="0.25">
      <c r="B971" s="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spans="2:13" ht="12.5" x14ac:dyDescent="0.25">
      <c r="B972" s="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spans="2:13" ht="12.5" x14ac:dyDescent="0.25">
      <c r="B973" s="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spans="2:13" ht="12.5" x14ac:dyDescent="0.25">
      <c r="B974" s="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spans="2:13" ht="12.5" x14ac:dyDescent="0.25">
      <c r="B975" s="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spans="2:13" ht="12.5" x14ac:dyDescent="0.25">
      <c r="B976" s="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spans="2:13" ht="12.5" x14ac:dyDescent="0.25">
      <c r="B977" s="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spans="2:13" ht="12.5" x14ac:dyDescent="0.25">
      <c r="B978" s="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spans="2:13" ht="12.5" x14ac:dyDescent="0.25">
      <c r="B979" s="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spans="2:13" ht="12.5" x14ac:dyDescent="0.25">
      <c r="B980" s="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spans="2:13" ht="12.5" x14ac:dyDescent="0.25">
      <c r="B981" s="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spans="2:13" ht="12.5" x14ac:dyDescent="0.25">
      <c r="B982" s="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spans="2:13" ht="12.5" x14ac:dyDescent="0.25">
      <c r="B983" s="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spans="2:13" ht="12.5" x14ac:dyDescent="0.25">
      <c r="B984" s="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spans="2:13" ht="12.5" x14ac:dyDescent="0.25">
      <c r="B985" s="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spans="2:13" ht="12.5" x14ac:dyDescent="0.25">
      <c r="B986" s="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spans="2:13" ht="12.5" x14ac:dyDescent="0.25">
      <c r="B987" s="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spans="2:13" ht="12.5" x14ac:dyDescent="0.25">
      <c r="B988" s="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spans="2:13" ht="12.5" x14ac:dyDescent="0.25">
      <c r="B989" s="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spans="2:13" ht="12.5" x14ac:dyDescent="0.25">
      <c r="B990" s="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spans="2:13" ht="12.5" x14ac:dyDescent="0.25">
      <c r="B991" s="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spans="2:13" ht="12.5" x14ac:dyDescent="0.25">
      <c r="B992" s="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spans="2:13" ht="12.5" x14ac:dyDescent="0.25">
      <c r="B993" s="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spans="2:13" ht="12.5" x14ac:dyDescent="0.25">
      <c r="B994" s="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spans="2:13" ht="12.5" x14ac:dyDescent="0.25">
      <c r="B995" s="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spans="2:13" ht="12.5" x14ac:dyDescent="0.25">
      <c r="B996" s="1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spans="2:13" ht="12.5" x14ac:dyDescent="0.25">
      <c r="B997" s="1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spans="2:13" ht="12.5" x14ac:dyDescent="0.25">
      <c r="B998" s="1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spans="2:13" ht="12.5" x14ac:dyDescent="0.25">
      <c r="B999" s="1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spans="2:13" ht="12.5" x14ac:dyDescent="0.25">
      <c r="B1000" s="1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phoneticPr fontId="2"/>
  <conditionalFormatting sqref="A2:B9 N2:N9">
    <cfRule type="expression" dxfId="11" priority="4">
      <formula>MOD(ROW()+1,2)</formula>
    </cfRule>
  </conditionalFormatting>
  <conditionalFormatting sqref="C2:F9">
    <cfRule type="expression" dxfId="10" priority="3">
      <formula>MOD(ROW()+1,2)</formula>
    </cfRule>
  </conditionalFormatting>
  <conditionalFormatting sqref="G2:H9">
    <cfRule type="expression" dxfId="9" priority="2">
      <formula>MOD(ROW()+1,2)</formula>
    </cfRule>
  </conditionalFormatting>
  <conditionalFormatting sqref="I2:M9">
    <cfRule type="expression" dxfId="8" priority="1">
      <formula>MOD(ROW()+1,2)</formula>
    </cfRule>
  </conditionalFormatting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8248A-A38D-46FB-8701-01DA7A5E2481}">
  <sheetPr>
    <tabColor rgb="FF00B0F0"/>
    <pageSetUpPr fitToPage="1"/>
  </sheetPr>
  <dimension ref="A1:N11"/>
  <sheetViews>
    <sheetView zoomScale="76" workbookViewId="0">
      <selection activeCell="H24" sqref="H24"/>
    </sheetView>
  </sheetViews>
  <sheetFormatPr defaultColWidth="10.6328125" defaultRowHeight="15" customHeight="1" x14ac:dyDescent="0.25"/>
  <cols>
    <col min="1" max="1" width="14.7265625" customWidth="1"/>
    <col min="2" max="2" width="7.7265625" customWidth="1"/>
    <col min="3" max="13" width="8.1796875" customWidth="1"/>
  </cols>
  <sheetData>
    <row r="1" spans="1:14" ht="15" customHeight="1" thickTop="1" thickBot="1" x14ac:dyDescent="0.3">
      <c r="A1" s="5" t="s">
        <v>28</v>
      </c>
      <c r="B1" s="6" t="s">
        <v>29</v>
      </c>
      <c r="C1" s="12" t="s">
        <v>30</v>
      </c>
      <c r="D1" s="13" t="s">
        <v>31</v>
      </c>
      <c r="E1" s="13" t="s">
        <v>32</v>
      </c>
      <c r="F1" s="13" t="s">
        <v>33</v>
      </c>
      <c r="G1" s="17" t="s">
        <v>34</v>
      </c>
      <c r="H1" s="17" t="s">
        <v>35</v>
      </c>
      <c r="I1" s="19" t="s">
        <v>36</v>
      </c>
      <c r="J1" s="19" t="s">
        <v>37</v>
      </c>
      <c r="K1" s="20" t="s">
        <v>38</v>
      </c>
      <c r="L1" s="19" t="s">
        <v>39</v>
      </c>
      <c r="M1" s="21" t="s">
        <v>40</v>
      </c>
      <c r="N1" s="7" t="s">
        <v>41</v>
      </c>
    </row>
    <row r="2" spans="1:14" ht="15" customHeight="1" thickBot="1" x14ac:dyDescent="0.3">
      <c r="A2" s="133" t="s">
        <v>42</v>
      </c>
      <c r="B2" s="134">
        <v>2.627314814814815E-3</v>
      </c>
      <c r="C2" s="135" t="s">
        <v>15</v>
      </c>
      <c r="D2" s="136" t="s">
        <v>15</v>
      </c>
      <c r="E2" s="136" t="s">
        <v>15</v>
      </c>
      <c r="F2" s="136" t="s">
        <v>15</v>
      </c>
      <c r="G2" s="137"/>
      <c r="H2" s="137"/>
      <c r="I2" s="114"/>
      <c r="J2" s="138" t="s">
        <v>15</v>
      </c>
      <c r="K2" s="138" t="s">
        <v>15</v>
      </c>
      <c r="L2" s="113"/>
      <c r="M2" s="139"/>
      <c r="N2" s="8">
        <f>COUNTIF(C2:M2,"◯")</f>
        <v>6</v>
      </c>
    </row>
    <row r="3" spans="1:14" ht="15" customHeight="1" thickBot="1" x14ac:dyDescent="0.3">
      <c r="A3" s="140" t="s">
        <v>43</v>
      </c>
      <c r="B3" s="141">
        <v>2.1296296296296298E-3</v>
      </c>
      <c r="C3" s="142"/>
      <c r="D3" s="143"/>
      <c r="E3" s="144" t="s">
        <v>15</v>
      </c>
      <c r="F3" s="162"/>
      <c r="G3" s="145" t="s">
        <v>15</v>
      </c>
      <c r="H3" s="146"/>
      <c r="I3" s="147"/>
      <c r="J3" s="147"/>
      <c r="K3" s="147"/>
      <c r="L3" s="160" t="s">
        <v>15</v>
      </c>
      <c r="M3" s="161"/>
      <c r="N3" s="8">
        <f t="shared" ref="N3:N9" si="0">COUNTIF(C3:M3,"◯")</f>
        <v>3</v>
      </c>
    </row>
    <row r="4" spans="1:14" ht="15" customHeight="1" x14ac:dyDescent="0.25">
      <c r="A4" s="9" t="s">
        <v>44</v>
      </c>
      <c r="B4" s="11">
        <v>2.1180555555555558E-3</v>
      </c>
      <c r="C4" s="14"/>
      <c r="D4" s="15"/>
      <c r="E4" s="16"/>
      <c r="F4" s="112" t="s">
        <v>45</v>
      </c>
      <c r="G4" s="18" t="s">
        <v>15</v>
      </c>
      <c r="H4" s="18" t="s">
        <v>15</v>
      </c>
      <c r="I4" s="22"/>
      <c r="J4" s="22"/>
      <c r="K4" s="22"/>
      <c r="L4" s="23" t="s">
        <v>15</v>
      </c>
      <c r="M4" s="24" t="s">
        <v>15</v>
      </c>
      <c r="N4" s="8">
        <f>COUNTIF(C4:M4,"◯")</f>
        <v>5</v>
      </c>
    </row>
    <row r="5" spans="1:14" ht="15" customHeight="1" thickBot="1" x14ac:dyDescent="0.3">
      <c r="A5" s="150" t="s">
        <v>46</v>
      </c>
      <c r="B5" s="151">
        <v>2.5115740740740741E-3</v>
      </c>
      <c r="C5" s="152" t="s">
        <v>15</v>
      </c>
      <c r="D5" s="153" t="s">
        <v>15</v>
      </c>
      <c r="E5" s="154"/>
      <c r="F5" s="154"/>
      <c r="G5" s="164"/>
      <c r="H5" s="164"/>
      <c r="I5" s="155" t="s">
        <v>15</v>
      </c>
      <c r="J5" s="155" t="s">
        <v>15</v>
      </c>
      <c r="K5" s="155" t="s">
        <v>15</v>
      </c>
      <c r="L5" s="156"/>
      <c r="M5" s="157"/>
      <c r="N5" s="8">
        <f>COUNTIF(C5:M5,"◯")</f>
        <v>5</v>
      </c>
    </row>
    <row r="6" spans="1:14" ht="15" customHeight="1" thickBot="1" x14ac:dyDescent="0.3">
      <c r="A6" s="140" t="s">
        <v>47</v>
      </c>
      <c r="B6" s="141">
        <v>2.1759259259259258E-3</v>
      </c>
      <c r="C6" s="158" t="s">
        <v>45</v>
      </c>
      <c r="D6" s="144" t="s">
        <v>15</v>
      </c>
      <c r="E6" s="144" t="s">
        <v>15</v>
      </c>
      <c r="F6" s="144" t="s">
        <v>15</v>
      </c>
      <c r="G6" s="163"/>
      <c r="H6" s="165"/>
      <c r="I6" s="148" t="s">
        <v>15</v>
      </c>
      <c r="J6" s="166"/>
      <c r="K6" s="166"/>
      <c r="L6" s="148" t="s">
        <v>15</v>
      </c>
      <c r="M6" s="149"/>
      <c r="N6" s="8">
        <f>COUNTIF(C6:M6,"◯")</f>
        <v>6</v>
      </c>
    </row>
    <row r="7" spans="1:14" ht="15" customHeight="1" thickBot="1" x14ac:dyDescent="0.3">
      <c r="A7" s="140" t="s">
        <v>48</v>
      </c>
      <c r="B7" s="141">
        <v>1.8981481481481482E-3</v>
      </c>
      <c r="C7" s="142"/>
      <c r="D7" s="162"/>
      <c r="E7" s="144"/>
      <c r="F7" s="144" t="s">
        <v>15</v>
      </c>
      <c r="G7" s="145" t="s">
        <v>15</v>
      </c>
      <c r="H7" s="145" t="s">
        <v>15</v>
      </c>
      <c r="I7" s="166"/>
      <c r="J7" s="160" t="s">
        <v>15</v>
      </c>
      <c r="K7" s="160" t="s">
        <v>15</v>
      </c>
      <c r="L7" s="148" t="s">
        <v>15</v>
      </c>
      <c r="M7" s="159" t="s">
        <v>15</v>
      </c>
      <c r="N7" s="8">
        <f>COUNTIF(C7:M7,"◯")</f>
        <v>7</v>
      </c>
    </row>
    <row r="8" spans="1:14" ht="15" customHeight="1" x14ac:dyDescent="0.25">
      <c r="A8" s="182" t="s">
        <v>55</v>
      </c>
      <c r="B8" s="183">
        <v>1.8634259259259259E-3</v>
      </c>
      <c r="C8" s="184" t="s">
        <v>15</v>
      </c>
      <c r="D8" s="185" t="s">
        <v>15</v>
      </c>
      <c r="E8" s="186" t="s">
        <v>15</v>
      </c>
      <c r="F8" s="187"/>
      <c r="G8" s="188"/>
      <c r="H8" s="189" t="s">
        <v>15</v>
      </c>
      <c r="I8" s="190"/>
      <c r="J8" s="191"/>
      <c r="K8" s="191"/>
      <c r="L8" s="191"/>
      <c r="M8" s="192" t="s">
        <v>15</v>
      </c>
      <c r="N8" s="8">
        <f>COUNTIF(C8:M8,"◯")</f>
        <v>5</v>
      </c>
    </row>
    <row r="9" spans="1:14" ht="15" customHeight="1" thickBot="1" x14ac:dyDescent="0.3">
      <c r="A9" s="175" t="s">
        <v>56</v>
      </c>
      <c r="B9" s="176">
        <v>1.5625000000000001E-3</v>
      </c>
      <c r="C9" s="177" t="s">
        <v>45</v>
      </c>
      <c r="D9" s="178" t="s">
        <v>45</v>
      </c>
      <c r="E9" s="178" t="s">
        <v>45</v>
      </c>
      <c r="F9" s="178" t="s">
        <v>45</v>
      </c>
      <c r="G9" s="179" t="s">
        <v>45</v>
      </c>
      <c r="H9" s="179" t="s">
        <v>45</v>
      </c>
      <c r="I9" s="180" t="s">
        <v>45</v>
      </c>
      <c r="J9" s="180" t="s">
        <v>45</v>
      </c>
      <c r="K9" s="180" t="s">
        <v>45</v>
      </c>
      <c r="L9" s="180" t="s">
        <v>45</v>
      </c>
      <c r="M9" s="181" t="s">
        <v>45</v>
      </c>
      <c r="N9" s="167">
        <f t="shared" si="0"/>
        <v>11</v>
      </c>
    </row>
    <row r="10" spans="1:14" ht="15" customHeight="1" thickBot="1" x14ac:dyDescent="0.3">
      <c r="A10" s="168" t="s">
        <v>49</v>
      </c>
      <c r="B10" s="169">
        <f>SUM(B2:B9)</f>
        <v>1.6886574074074075E-2</v>
      </c>
      <c r="C10" s="170">
        <f t="shared" ref="C10:M10" si="1">COUNTIF(C$1:C$9,"◯")</f>
        <v>5</v>
      </c>
      <c r="D10" s="171">
        <f t="shared" si="1"/>
        <v>5</v>
      </c>
      <c r="E10" s="171">
        <f t="shared" si="1"/>
        <v>5</v>
      </c>
      <c r="F10" s="171">
        <f t="shared" si="1"/>
        <v>5</v>
      </c>
      <c r="G10" s="172">
        <f t="shared" si="1"/>
        <v>4</v>
      </c>
      <c r="H10" s="172">
        <f t="shared" si="1"/>
        <v>4</v>
      </c>
      <c r="I10" s="173">
        <f t="shared" si="1"/>
        <v>3</v>
      </c>
      <c r="J10" s="173">
        <f t="shared" si="1"/>
        <v>4</v>
      </c>
      <c r="K10" s="173">
        <f t="shared" si="1"/>
        <v>4</v>
      </c>
      <c r="L10" s="173">
        <f t="shared" si="1"/>
        <v>5</v>
      </c>
      <c r="M10" s="174">
        <f t="shared" si="1"/>
        <v>4</v>
      </c>
      <c r="N10" s="10"/>
    </row>
    <row r="11" spans="1:14" ht="15" customHeight="1" thickTop="1" x14ac:dyDescent="0.25"/>
  </sheetData>
  <phoneticPr fontId="2"/>
  <conditionalFormatting sqref="A1:B9 N1:N9">
    <cfRule type="expression" dxfId="7" priority="4">
      <formula>MOD(ROW()+1,2)</formula>
    </cfRule>
  </conditionalFormatting>
  <conditionalFormatting sqref="C2:F9">
    <cfRule type="expression" dxfId="6" priority="3">
      <formula>MOD(ROW()+1,2)</formula>
    </cfRule>
  </conditionalFormatting>
  <conditionalFormatting sqref="G2:H9">
    <cfRule type="expression" dxfId="5" priority="2">
      <formula>MOD(ROW()+1,2)</formula>
    </cfRule>
  </conditionalFormatting>
  <conditionalFormatting sqref="I2:M9">
    <cfRule type="expression" dxfId="4" priority="1">
      <formula>MOD(ROW()+1,2)</formula>
    </cfRule>
  </conditionalFormatting>
  <pageMargins left="0.70866141732283472" right="0.70866141732283472" top="0.74803149606299213" bottom="0.74803149606299213" header="0.31496062992125984" footer="0.31496062992125984"/>
  <pageSetup scale="99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4CE9-9F4F-4503-A9BB-D28B539D091A}">
  <sheetPr>
    <tabColor rgb="FF00B050"/>
    <pageSetUpPr fitToPage="1"/>
  </sheetPr>
  <dimension ref="A1:O10"/>
  <sheetViews>
    <sheetView tabSelected="1" zoomScale="110" workbookViewId="0"/>
  </sheetViews>
  <sheetFormatPr defaultRowHeight="12.5" x14ac:dyDescent="0.25"/>
  <cols>
    <col min="1" max="1" width="15.7265625" customWidth="1"/>
    <col min="2" max="2" width="7.36328125" style="78" customWidth="1"/>
    <col min="8" max="8" width="8.7265625" hidden="1" customWidth="1"/>
  </cols>
  <sheetData>
    <row r="1" spans="1:15" ht="15" customHeight="1" thickTop="1" thickBot="1" x14ac:dyDescent="0.3">
      <c r="A1" s="25" t="s">
        <v>0</v>
      </c>
      <c r="B1" s="75" t="s">
        <v>23</v>
      </c>
      <c r="C1" s="28" t="s">
        <v>30</v>
      </c>
      <c r="D1" s="13" t="s">
        <v>31</v>
      </c>
      <c r="E1" s="13" t="s">
        <v>32</v>
      </c>
      <c r="F1" s="13" t="s">
        <v>33</v>
      </c>
      <c r="G1" s="17" t="s">
        <v>34</v>
      </c>
      <c r="H1" s="17" t="s">
        <v>53</v>
      </c>
      <c r="I1" s="17" t="s">
        <v>35</v>
      </c>
      <c r="J1" s="19" t="s">
        <v>36</v>
      </c>
      <c r="K1" s="19" t="s">
        <v>37</v>
      </c>
      <c r="L1" s="20" t="s">
        <v>38</v>
      </c>
      <c r="M1" s="19" t="s">
        <v>39</v>
      </c>
      <c r="N1" s="21" t="s">
        <v>40</v>
      </c>
      <c r="O1" s="7" t="s">
        <v>41</v>
      </c>
    </row>
    <row r="2" spans="1:15" ht="15" customHeight="1" thickBot="1" x14ac:dyDescent="0.3">
      <c r="A2" s="198" t="s">
        <v>26</v>
      </c>
      <c r="B2" s="193">
        <v>2.1180555555555558E-3</v>
      </c>
      <c r="C2" s="210"/>
      <c r="D2" s="194"/>
      <c r="E2" s="194"/>
      <c r="F2" s="195" t="s">
        <v>15</v>
      </c>
      <c r="G2" s="130" t="s">
        <v>15</v>
      </c>
      <c r="H2" s="130"/>
      <c r="I2" s="130" t="s">
        <v>15</v>
      </c>
      <c r="J2" s="196"/>
      <c r="K2" s="118"/>
      <c r="L2" s="129" t="s">
        <v>15</v>
      </c>
      <c r="M2" s="129" t="s">
        <v>15</v>
      </c>
      <c r="N2" s="199" t="s">
        <v>15</v>
      </c>
      <c r="O2" s="29">
        <f t="shared" ref="O2:O8" si="0">COUNTIF(C2:N2,"◯")</f>
        <v>6</v>
      </c>
    </row>
    <row r="3" spans="1:15" ht="15" customHeight="1" x14ac:dyDescent="0.25">
      <c r="A3" s="115" t="s">
        <v>18</v>
      </c>
      <c r="B3" s="74">
        <v>2.5115740740740741E-3</v>
      </c>
      <c r="C3" s="197" t="s">
        <v>15</v>
      </c>
      <c r="D3" s="39" t="s">
        <v>15</v>
      </c>
      <c r="E3" s="38"/>
      <c r="F3" s="38"/>
      <c r="G3" s="4"/>
      <c r="H3" s="4"/>
      <c r="I3" s="4"/>
      <c r="J3" s="42" t="s">
        <v>15</v>
      </c>
      <c r="K3" s="42" t="s">
        <v>15</v>
      </c>
      <c r="L3" s="42" t="s">
        <v>15</v>
      </c>
      <c r="M3" s="41"/>
      <c r="N3" s="117"/>
      <c r="O3" s="30">
        <f t="shared" si="0"/>
        <v>5</v>
      </c>
    </row>
    <row r="4" spans="1:15" ht="15" customHeight="1" x14ac:dyDescent="0.25">
      <c r="A4" s="27" t="s">
        <v>51</v>
      </c>
      <c r="B4" s="76">
        <v>2.5462962962962965E-3</v>
      </c>
      <c r="C4" s="43"/>
      <c r="D4" s="44"/>
      <c r="E4" s="44"/>
      <c r="F4" s="44"/>
      <c r="G4" s="45" t="s">
        <v>15</v>
      </c>
      <c r="H4" s="3"/>
      <c r="I4" s="3"/>
      <c r="J4" s="46"/>
      <c r="K4" s="46"/>
      <c r="L4" s="46"/>
      <c r="M4" s="46"/>
      <c r="N4" s="47" t="s">
        <v>15</v>
      </c>
      <c r="O4" s="30">
        <f t="shared" si="0"/>
        <v>2</v>
      </c>
    </row>
    <row r="5" spans="1:15" ht="15" customHeight="1" thickBot="1" x14ac:dyDescent="0.3">
      <c r="A5" s="200" t="s">
        <v>27</v>
      </c>
      <c r="B5" s="201">
        <v>2.1759259259259258E-3</v>
      </c>
      <c r="C5" s="202" t="s">
        <v>15</v>
      </c>
      <c r="D5" s="203" t="s">
        <v>15</v>
      </c>
      <c r="E5" s="203" t="s">
        <v>15</v>
      </c>
      <c r="F5" s="203" t="s">
        <v>15</v>
      </c>
      <c r="G5" s="120"/>
      <c r="H5" s="120"/>
      <c r="I5" s="120"/>
      <c r="J5" s="204" t="s">
        <v>15</v>
      </c>
      <c r="K5" s="205"/>
      <c r="L5" s="205"/>
      <c r="M5" s="204" t="s">
        <v>15</v>
      </c>
      <c r="N5" s="132"/>
      <c r="O5" s="30">
        <f t="shared" si="0"/>
        <v>6</v>
      </c>
    </row>
    <row r="6" spans="1:15" ht="15" customHeight="1" x14ac:dyDescent="0.25">
      <c r="A6" s="115" t="s">
        <v>50</v>
      </c>
      <c r="B6" s="74">
        <v>1.3888888888888889E-3</v>
      </c>
      <c r="C6" s="116"/>
      <c r="D6" s="39" t="s">
        <v>15</v>
      </c>
      <c r="E6" s="38"/>
      <c r="F6" s="38"/>
      <c r="G6" s="4"/>
      <c r="H6" s="4"/>
      <c r="I6" s="40" t="s">
        <v>15</v>
      </c>
      <c r="J6" s="41"/>
      <c r="K6" s="41"/>
      <c r="L6" s="41"/>
      <c r="M6" s="41"/>
      <c r="N6" s="117"/>
      <c r="O6" s="30">
        <f t="shared" si="0"/>
        <v>2</v>
      </c>
    </row>
    <row r="7" spans="1:15" ht="15" customHeight="1" thickBot="1" x14ac:dyDescent="0.3">
      <c r="A7" s="206" t="s">
        <v>54</v>
      </c>
      <c r="B7" s="201">
        <v>2.7430555555555554E-3</v>
      </c>
      <c r="C7" s="207" t="s">
        <v>24</v>
      </c>
      <c r="D7" s="119"/>
      <c r="E7" s="203" t="s">
        <v>15</v>
      </c>
      <c r="F7" s="203" t="s">
        <v>15</v>
      </c>
      <c r="G7" s="131"/>
      <c r="H7" s="208"/>
      <c r="I7" s="131"/>
      <c r="J7" s="121"/>
      <c r="K7" s="205"/>
      <c r="L7" s="205"/>
      <c r="M7" s="204"/>
      <c r="N7" s="209" t="s">
        <v>24</v>
      </c>
      <c r="O7" s="30">
        <f t="shared" si="0"/>
        <v>4</v>
      </c>
    </row>
    <row r="8" spans="1:15" ht="15" customHeight="1" thickBot="1" x14ac:dyDescent="0.3">
      <c r="A8" s="122" t="s">
        <v>52</v>
      </c>
      <c r="B8" s="123">
        <v>1.5625000000000001E-3</v>
      </c>
      <c r="C8" s="124" t="s">
        <v>15</v>
      </c>
      <c r="D8" s="125" t="s">
        <v>15</v>
      </c>
      <c r="E8" s="125" t="s">
        <v>15</v>
      </c>
      <c r="F8" s="125" t="s">
        <v>15</v>
      </c>
      <c r="G8" s="126" t="s">
        <v>15</v>
      </c>
      <c r="H8" s="126"/>
      <c r="I8" s="126" t="s">
        <v>15</v>
      </c>
      <c r="J8" s="127" t="s">
        <v>15</v>
      </c>
      <c r="K8" s="127" t="s">
        <v>15</v>
      </c>
      <c r="L8" s="127" t="s">
        <v>15</v>
      </c>
      <c r="M8" s="127" t="s">
        <v>15</v>
      </c>
      <c r="N8" s="128" t="s">
        <v>15</v>
      </c>
      <c r="O8" s="31">
        <f t="shared" si="0"/>
        <v>11</v>
      </c>
    </row>
    <row r="9" spans="1:15" ht="15" customHeight="1" thickBot="1" x14ac:dyDescent="0.3">
      <c r="A9" s="26" t="s">
        <v>25</v>
      </c>
      <c r="B9" s="77">
        <f>SUM(B2:B8)</f>
        <v>1.5046296296296295E-2</v>
      </c>
      <c r="C9" s="33">
        <f>COUNTIF(C2:C8,"◯")</f>
        <v>4</v>
      </c>
      <c r="D9" s="34">
        <f t="shared" ref="D9:G9" si="1">COUNTIF(D2:D8,"◯")</f>
        <v>4</v>
      </c>
      <c r="E9" s="34">
        <f t="shared" si="1"/>
        <v>3</v>
      </c>
      <c r="F9" s="34">
        <f t="shared" si="1"/>
        <v>4</v>
      </c>
      <c r="G9" s="35">
        <f t="shared" si="1"/>
        <v>3</v>
      </c>
      <c r="H9" s="35">
        <f t="shared" ref="H9" si="2">COUNTIF(H2:H8,"◯")</f>
        <v>0</v>
      </c>
      <c r="I9" s="35">
        <f t="shared" ref="I9" si="3">COUNTIF(I2:I8,"◯")</f>
        <v>3</v>
      </c>
      <c r="J9" s="36">
        <f t="shared" ref="J9:K9" si="4">COUNTIF(J2:J8,"◯")</f>
        <v>3</v>
      </c>
      <c r="K9" s="36">
        <f t="shared" si="4"/>
        <v>2</v>
      </c>
      <c r="L9" s="36">
        <f t="shared" ref="L9" si="5">COUNTIF(L2:L8,"◯")</f>
        <v>3</v>
      </c>
      <c r="M9" s="36">
        <f t="shared" ref="M9" si="6">COUNTIF(M2:M8,"◯")</f>
        <v>3</v>
      </c>
      <c r="N9" s="37">
        <f t="shared" ref="N9" si="7">COUNTIF(N2:N8,"◯")</f>
        <v>4</v>
      </c>
      <c r="O9" s="32"/>
    </row>
    <row r="10" spans="1:15" ht="13" thickTop="1" x14ac:dyDescent="0.25"/>
  </sheetData>
  <phoneticPr fontId="2"/>
  <conditionalFormatting sqref="C2:F8">
    <cfRule type="expression" dxfId="3" priority="3">
      <formula>MOD(ROW()+1,2)</formula>
    </cfRule>
  </conditionalFormatting>
  <conditionalFormatting sqref="G2:I8">
    <cfRule type="expression" dxfId="2" priority="2">
      <formula>MOD(ROW()+1,2)</formula>
    </cfRule>
  </conditionalFormatting>
  <conditionalFormatting sqref="J2:N8">
    <cfRule type="expression" dxfId="1" priority="1">
      <formula>MOD(ROW()+1,2)</formula>
    </cfRule>
  </conditionalFormatting>
  <conditionalFormatting sqref="O1:O8 A2:B8">
    <cfRule type="expression" dxfId="0" priority="4">
      <formula>MOD(ROW()+1,2)</formula>
    </cfRule>
  </conditionalFormatting>
  <pageMargins left="0.70866141732283472" right="0.70866141732283472" top="0.74803149606299213" bottom="0.74803149606299213" header="0.31496062992125984" footer="0.31496062992125984"/>
  <pageSetup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0427M</vt:lpstr>
      <vt:lpstr>0513W</vt:lpstr>
      <vt:lpstr>0514T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赤間智</dc:creator>
  <cp:lastModifiedBy>智 赤間</cp:lastModifiedBy>
  <cp:lastPrinted>2026-05-12T12:49:56Z</cp:lastPrinted>
  <dcterms:modified xsi:type="dcterms:W3CDTF">2026-05-27T07:47:55Z</dcterms:modified>
</cp:coreProperties>
</file>